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40" windowWidth="19140" windowHeight="7090" activeTab="1"/>
  </bookViews>
  <sheets>
    <sheet name="DATA" sheetId="5" r:id="rId1"/>
    <sheet name="Sheet1" sheetId="2" r:id="rId2"/>
    <sheet name="VLOOKUP" sheetId="4" r:id="rId3"/>
    <sheet name="HLOOKUP" sheetId="10" r:id="rId4"/>
    <sheet name="PIVOT TABLE" sheetId="9" r:id="rId5"/>
  </sheet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C11" i="10" l="1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B11" i="10"/>
  <c r="C9" i="4" l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8" i="4"/>
  <c r="B26" i="4"/>
  <c r="B15" i="4"/>
  <c r="B35" i="4"/>
  <c r="B36" i="4"/>
  <c r="B8" i="4"/>
  <c r="B38" i="4"/>
  <c r="B10" i="4"/>
  <c r="B41" i="4"/>
  <c r="B13" i="4"/>
  <c r="B44" i="4"/>
  <c r="B16" i="4"/>
  <c r="B46" i="4"/>
  <c r="B47" i="4"/>
  <c r="B9" i="4"/>
  <c r="B49" i="4"/>
  <c r="B11" i="4"/>
  <c r="B28" i="4"/>
  <c r="B14" i="4"/>
  <c r="B31" i="4"/>
  <c r="B17" i="4"/>
  <c r="B33" i="4"/>
  <c r="B25" i="4"/>
  <c r="B18" i="4"/>
  <c r="B34" i="4"/>
  <c r="B21" i="4"/>
  <c r="B37" i="4"/>
  <c r="B23" i="4"/>
  <c r="B39" i="4"/>
  <c r="B40" i="4"/>
  <c r="B42" i="4"/>
  <c r="B43" i="4"/>
  <c r="B19" i="4"/>
  <c r="B45" i="4"/>
  <c r="B22" i="4"/>
  <c r="B48" i="4"/>
  <c r="B24" i="4"/>
  <c r="B50" i="4"/>
  <c r="B27" i="4"/>
  <c r="B29" i="4"/>
  <c r="B30" i="4"/>
  <c r="B20" i="4"/>
  <c r="B32" i="4"/>
  <c r="B12" i="4"/>
</calcChain>
</file>

<file path=xl/sharedStrings.xml><?xml version="1.0" encoding="utf-8"?>
<sst xmlns="http://schemas.openxmlformats.org/spreadsheetml/2006/main" count="428" uniqueCount="68">
  <si>
    <t>OrderDate</t>
  </si>
  <si>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</si>
  <si>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</si>
  <si>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</si>
  <si>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</si>
  <si>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</si>
  <si>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</si>
  <si>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</si>
  <si>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</si>
  <si>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</si>
  <si>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1/23/2024</t>
  </si>
  <si>
    <t>Central</t>
  </si>
  <si>
    <t>Kivell</t>
  </si>
  <si>
    <t>Binder</t>
  </si>
  <si>
    <t>Jardine</t>
  </si>
  <si>
    <t>2/26/2024</t>
  </si>
  <si>
    <t>Gill</t>
  </si>
  <si>
    <t>Pen</t>
  </si>
  <si>
    <t>3/15/2024</t>
  </si>
  <si>
    <t>West</t>
  </si>
  <si>
    <t>Sorvino</t>
  </si>
  <si>
    <t>4/18/2024</t>
  </si>
  <si>
    <t>Andrews</t>
  </si>
  <si>
    <t>5/22/2024</t>
  </si>
  <si>
    <t>Thompson</t>
  </si>
  <si>
    <t>6/25/2024</t>
  </si>
  <si>
    <t>Morgan</t>
  </si>
  <si>
    <t>Howard</t>
  </si>
  <si>
    <t>7/29/2024</t>
  </si>
  <si>
    <t>Parent</t>
  </si>
  <si>
    <t>8/15/2024</t>
  </si>
  <si>
    <t>Smith</t>
  </si>
  <si>
    <t>Desk</t>
  </si>
  <si>
    <t>9/18/2024</t>
  </si>
  <si>
    <t>Pen Set</t>
  </si>
  <si>
    <t>10/22/2024</t>
  </si>
  <si>
    <t>11/25/2024</t>
  </si>
  <si>
    <t>12/29/2024</t>
  </si>
  <si>
    <t>1/15/2025</t>
  </si>
  <si>
    <t>2/18/2025</t>
  </si>
  <si>
    <t>3/24/2025</t>
  </si>
  <si>
    <t>4/27/2025</t>
  </si>
  <si>
    <t>5/14/2025</t>
  </si>
  <si>
    <t>5/31/2025</t>
  </si>
  <si>
    <t>6/17/2025</t>
  </si>
  <si>
    <t>7/21/2025</t>
  </si>
  <si>
    <t>8/24/2025</t>
  </si>
  <si>
    <t>9/27/2025</t>
  </si>
  <si>
    <t>10/14/2025</t>
  </si>
  <si>
    <t>10/31/2025</t>
  </si>
  <si>
    <t>11/17/2025</t>
  </si>
  <si>
    <t>12/21/2025</t>
  </si>
  <si>
    <t>unit</t>
  </si>
  <si>
    <t>total profit</t>
  </si>
  <si>
    <t>vlookup</t>
  </si>
  <si>
    <t>order date</t>
  </si>
  <si>
    <t>Grand Total</t>
  </si>
  <si>
    <t>Sum of Total</t>
  </si>
  <si>
    <t>total sale of atom in region wise</t>
  </si>
  <si>
    <t>HLOOKUP</t>
  </si>
  <si>
    <t>Order date</t>
  </si>
  <si>
    <t>Unit</t>
  </si>
  <si>
    <t>total sale</t>
  </si>
  <si>
    <t>Total sale</t>
  </si>
  <si>
    <t>Pivort chart</t>
  </si>
  <si>
    <t>OPERATION</t>
  </si>
  <si>
    <t>Top total sale show red colour</t>
  </si>
  <si>
    <t>Above 10rs unit cost show in green colour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</si>
</sst>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4009]dd/mm/yyyy;@"/>
    <numFmt numFmtId="165" formatCode="&quot;₹&quot;\ #,##0.00"/>
    <numFmt numFmtId="166" formatCode="&quot;₹&quot;\ #,##0;[Red]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1FA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666FF"/>
      </left>
      <right style="thin">
        <color rgb="FF6666FF"/>
      </right>
      <top style="thin">
        <color rgb="FF6666FF"/>
      </top>
      <bottom style="thin">
        <color rgb="FF6666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6666FF"/>
      </left>
      <right style="thin">
        <color rgb="FF6666FF"/>
      </right>
      <top style="thin">
        <color rgb="FF6666FF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6" fillId="33" borderId="10" xfId="0" applyFont="1" applyFill="1" applyBorder="1" applyAlignment="1">
      <alignment horizontal="right" vertical="center" wrapText="1"/>
    </xf>
    <xf numFmtId="0" fontId="16" fillId="33" borderId="10" xfId="0" applyFont="1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right" vertical="center" wrapText="1"/>
    </xf>
    <xf numFmtId="49" fontId="0" fillId="0" borderId="11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right" vertical="center" wrapText="1"/>
    </xf>
    <xf numFmtId="165" fontId="0" fillId="0" borderId="11" xfId="0" applyNumberFormat="1" applyBorder="1" applyAlignment="1">
      <alignment horizontal="right" vertical="center" wrapText="1"/>
    </xf>
    <xf numFmtId="164" fontId="0" fillId="0" borderId="12" xfId="0" applyNumberFormat="1" applyBorder="1" applyAlignment="1">
      <alignment horizontal="right" vertical="center" wrapText="1"/>
    </xf>
    <xf numFmtId="165" fontId="0" fillId="0" borderId="13" xfId="0" applyNumberFormat="1" applyBorder="1" applyAlignment="1">
      <alignment horizontal="right" vertical="center" wrapText="1"/>
    </xf>
    <xf numFmtId="0" fontId="16" fillId="33" borderId="14" xfId="0" applyFont="1" applyFill="1" applyBorder="1" applyAlignment="1">
      <alignment horizontal="right" vertical="center" wrapText="1"/>
    </xf>
    <xf numFmtId="0" fontId="16" fillId="33" borderId="15" xfId="0" applyFont="1" applyFill="1" applyBorder="1" applyAlignment="1">
      <alignment horizontal="center" vertical="center" wrapText="1"/>
    </xf>
    <xf numFmtId="164" fontId="0" fillId="0" borderId="17" xfId="0" applyNumberFormat="1" applyBorder="1" applyAlignment="1">
      <alignment horizontal="right" vertical="center" wrapText="1"/>
    </xf>
    <xf numFmtId="49" fontId="0" fillId="0" borderId="18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right" vertical="center" wrapText="1"/>
    </xf>
    <xf numFmtId="165" fontId="0" fillId="0" borderId="18" xfId="0" applyNumberFormat="1" applyBorder="1" applyAlignment="1">
      <alignment horizontal="right" vertical="center" wrapText="1"/>
    </xf>
    <xf numFmtId="165" fontId="0" fillId="0" borderId="19" xfId="0" applyNumberForma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1" xfId="0" applyBorder="1"/>
    <xf numFmtId="0" fontId="16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/>
    <xf numFmtId="164" fontId="0" fillId="0" borderId="10" xfId="0" applyNumberFormat="1" applyBorder="1" applyAlignment="1">
      <alignment horizontal="right" vertical="center" wrapText="1"/>
    </xf>
    <xf numFmtId="166" fontId="0" fillId="0" borderId="10" xfId="0" applyNumberFormat="1" applyBorder="1" applyAlignment="1">
      <alignment horizontal="right" vertical="center" wrapText="1"/>
    </xf>
    <xf numFmtId="2" fontId="0" fillId="0" borderId="10" xfId="0" applyNumberFormat="1" applyBorder="1" applyAlignment="1">
      <alignment horizontal="right" vertical="center" wrapText="1"/>
    </xf>
    <xf numFmtId="49" fontId="0" fillId="0" borderId="10" xfId="0" applyNumberFormat="1" applyBorder="1" applyAlignment="1">
      <alignment horizontal="center" vertical="center" wrapText="1"/>
    </xf>
    <xf numFmtId="0" fontId="16" fillId="0" borderId="11" xfId="0" applyFont="1" applyBorder="1"/>
    <xf numFmtId="166" fontId="0" fillId="0" borderId="11" xfId="0" applyNumberFormat="1" applyBorder="1"/>
    <xf numFmtId="0" fontId="0" fillId="0" borderId="11" xfId="0" pivotButton="1" applyBorder="1"/>
    <xf numFmtId="0" fontId="0" fillId="0" borderId="11" xfId="0" applyBorder="1" applyAlignment="1">
      <alignment horizontal="left"/>
    </xf>
    <xf numFmtId="0" fontId="0" fillId="0" borderId="11" xfId="0" applyNumberFormat="1" applyBorder="1"/>
    <xf numFmtId="0" fontId="16" fillId="33" borderId="1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66" fontId="0" fillId="0" borderId="21" xfId="0" applyNumberFormat="1" applyBorder="1" applyAlignment="1">
      <alignment horizontal="right" vertical="center" wrapText="1"/>
    </xf>
    <xf numFmtId="0" fontId="16" fillId="0" borderId="0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0" fillId="0" borderId="20" xfId="0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EBF1FA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[rajatproject.xlsx]PIVOT TABLE!PivotTable4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 sz="1200">
                <a:solidFill>
                  <a:srgbClr val="FF0000"/>
                </a:solidFill>
              </a:rPr>
              <a:t>Region</a:t>
            </a:r>
            <a:r>
              <a:rPr lang="en-IN" sz="1200" baseline="0">
                <a:solidFill>
                  <a:srgbClr val="FF0000"/>
                </a:solidFill>
              </a:rPr>
              <a:t> Item Total Sales</a:t>
            </a:r>
            <a:endParaRPr lang="en-IN" sz="12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8562985846864836"/>
          <c:y val="3.138670166229221E-2"/>
        </c:manualLayout>
      </c:layout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923846839719198"/>
          <c:y val="0.12908355205599301"/>
          <c:w val="0.7036513560804899"/>
          <c:h val="0.649475794692330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Binder</c:v>
                </c:pt>
              </c:strCache>
            </c:strRef>
          </c:tx>
          <c:invertIfNegative val="0"/>
          <c:cat>
            <c:strRef>
              <c:f>'PIVOT TABLE'!$A$5:$A$8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'PIVOT TABLE'!$B$5:$B$8</c:f>
              <c:numCache>
                <c:formatCode>General</c:formatCode>
                <c:ptCount val="3"/>
                <c:pt idx="0">
                  <c:v>5762.63</c:v>
                </c:pt>
                <c:pt idx="1">
                  <c:v>2535.66</c:v>
                </c:pt>
                <c:pt idx="2">
                  <c:v>1279.3600000000001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Desk</c:v>
                </c:pt>
              </c:strCache>
            </c:strRef>
          </c:tx>
          <c:invertIfNegative val="0"/>
          <c:cat>
            <c:strRef>
              <c:f>'PIVOT TABLE'!$A$5:$A$8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'PIVOT TABLE'!$C$5:$C$8</c:f>
              <c:numCache>
                <c:formatCode>General</c:formatCode>
                <c:ptCount val="3"/>
                <c:pt idx="0">
                  <c:v>875</c:v>
                </c:pt>
                <c:pt idx="2">
                  <c:v>825</c:v>
                </c:pt>
              </c:numCache>
            </c:numRef>
          </c:val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Pen</c:v>
                </c:pt>
              </c:strCache>
            </c:strRef>
          </c:tx>
          <c:invertIfNegative val="0"/>
          <c:cat>
            <c:strRef>
              <c:f>'PIVOT TABLE'!$A$5:$A$8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'PIVOT TABLE'!$D$5:$D$8</c:f>
              <c:numCache>
                <c:formatCode>General</c:formatCode>
                <c:ptCount val="3"/>
                <c:pt idx="0">
                  <c:v>539.73</c:v>
                </c:pt>
                <c:pt idx="1">
                  <c:v>1354.25</c:v>
                </c:pt>
                <c:pt idx="2">
                  <c:v>151.24</c:v>
                </c:pt>
              </c:numCache>
            </c:numRef>
          </c:val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Pen Set</c:v>
                </c:pt>
              </c:strCache>
            </c:strRef>
          </c:tx>
          <c:invertIfNegative val="0"/>
          <c:cat>
            <c:strRef>
              <c:f>'PIVOT TABLE'!$A$5:$A$8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'PIVOT TABLE'!$E$5:$E$8</c:f>
              <c:numCache>
                <c:formatCode>General</c:formatCode>
                <c:ptCount val="3"/>
                <c:pt idx="0">
                  <c:v>2421.3900000000003</c:v>
                </c:pt>
                <c:pt idx="1">
                  <c:v>1748.4799999999998</c:v>
                </c:pt>
              </c:numCache>
            </c:numRef>
          </c:val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Pencil</c:v>
                </c:pt>
              </c:strCache>
            </c:strRef>
          </c:tx>
          <c:invertIfNegative val="0"/>
          <c:cat>
            <c:strRef>
              <c:f>'PIVOT TABLE'!$A$5:$A$8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'PIVOT TABLE'!$F$5:$F$8</c:f>
              <c:numCache>
                <c:formatCode>General</c:formatCode>
                <c:ptCount val="3"/>
                <c:pt idx="0">
                  <c:v>1540.3200000000002</c:v>
                </c:pt>
                <c:pt idx="1">
                  <c:v>363.70000000000005</c:v>
                </c:pt>
                <c:pt idx="2">
                  <c:v>231.12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5671424"/>
        <c:axId val="265673344"/>
      </c:barChart>
      <c:catAx>
        <c:axId val="26567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X-Axis=</a:t>
                </a:r>
                <a:r>
                  <a:rPr lang="en-IN" baseline="0"/>
                  <a:t> Region</a:t>
                </a:r>
              </a:p>
              <a:p>
                <a:pPr>
                  <a:defRPr/>
                </a:pPr>
                <a:r>
                  <a:rPr lang="en-IN" baseline="0"/>
                  <a:t>          Y-Axis=Sum of Total</a:t>
                </a:r>
                <a:endParaRPr lang="en-IN"/>
              </a:p>
            </c:rich>
          </c:tx>
          <c:layout/>
          <c:overlay val="0"/>
        </c:title>
        <c:majorTickMark val="out"/>
        <c:minorTickMark val="none"/>
        <c:tickLblPos val="nextTo"/>
        <c:crossAx val="265673344"/>
        <c:crosses val="autoZero"/>
        <c:auto val="1"/>
        <c:lblAlgn val="ctr"/>
        <c:lblOffset val="100"/>
        <c:noMultiLvlLbl val="0"/>
      </c:catAx>
      <c:valAx>
        <c:axId val="265673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567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1046729206696"/>
          <c:y val="0.25765237678623504"/>
          <c:w val="0.1548953270793304"/>
          <c:h val="0.48469488188976378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10</xdr:row>
      <xdr:rowOff>123825</xdr:rowOff>
    </xdr:from>
    <xdr:to>
      <xdr:col>6</xdr:col>
      <xdr:colOff>727075</xdr:colOff>
      <xdr:row>25</xdr:row>
      <xdr:rowOff>104775</xdr:rowOff>
    </xdr:to>
    <xdr:graphicFrame macro="">
      <xdr:nvGraphicFramePr>
        <xdr:cNvPr id="2" name="Chart 1" title="Region item total sa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767.637254976849" createdVersion="4" refreshedVersion="4" minRefreshableVersion="3" recordCount="43">
  <cacheSource type="worksheet">
    <worksheetSource ref="A1:G44" sheet="DATA"/>
  </cacheSource>
  <cacheFields count="7">
    <cacheField name="OrderDate" numFmtId="164">
      <sharedItems containsDate="1" containsMixedTypes="1" minDate="2024-01-04T00:00:00" maxDate="2025-10-10T00:00:00" count="43">
        <d v="2024-01-04T00:00:00"/>
        <d v="2024-01-09T00:00:00"/>
        <d v="2024-05-05T00:00:00"/>
        <d v="2024-05-10T00:00:00"/>
        <d v="2024-06-01T00:00:00"/>
        <d v="2024-08-06T00:00:00"/>
        <d v="2024-08-11T00:00:00"/>
        <d v="2024-09-02T00:00:00"/>
        <d v="2024-12-07T00:00:00"/>
        <d v="2024-12-12T00:00:00"/>
        <d v="2025-01-02T00:00:00"/>
        <d v="2025-04-07T00:00:00"/>
        <d v="2025-04-12T00:00:00"/>
        <d v="2025-07-03T00:00:00"/>
        <d v="2025-07-08T00:00:00"/>
        <d v="2025-10-04T00:00:00"/>
        <d v="2025-10-09T00:00:00"/>
        <s v="1/15/2025"/>
        <s v="1/23/2024"/>
        <s v="10/14/2025"/>
        <s v="10/22/2024"/>
        <s v="10/31/2025"/>
        <s v="11/17/2025"/>
        <s v="11/25/2024"/>
        <s v="12/21/2025"/>
        <s v="12/29/2024"/>
        <s v="2/18/2025"/>
        <s v="2/26/2024"/>
        <s v="3/15/2024"/>
        <s v="3/24/2025"/>
        <s v="4/18/2024"/>
        <s v="4/27/2025"/>
        <s v="5/14/2025"/>
        <s v="5/22/2024"/>
        <s v="5/31/2025"/>
        <s v="6/17/2025"/>
        <s v="6/25/2024"/>
        <s v="7/21/2025"/>
        <s v="7/29/2024"/>
        <s v="8/15/2024"/>
        <s v="8/24/2025"/>
        <s v="9/18/2024"/>
        <s v="9/27/2025"/>
      </sharedItems>
    </cacheField>
    <cacheField name="Region" numFmtId="49">
      <sharedItems count="3">
        <s v="East"/>
        <s v="Central"/>
        <s v="West"/>
      </sharedItems>
    </cacheField>
    <cacheField name="Rep" numFmtId="49">
      <sharedItems/>
    </cacheField>
    <cacheField name="Item" numFmtId="49">
      <sharedItems count="5">
        <s v="Binder"/>
        <s v="Desk"/>
        <s v="Pencil"/>
        <s v="Pen"/>
        <s v="Pen Set"/>
      </sharedItems>
    </cacheField>
    <cacheField name="Units" numFmtId="2">
      <sharedItems containsSemiMixedTypes="0" containsString="0" containsNumber="1" containsInteger="1" minValue="2" maxValue="96" count="37">
        <n v="60"/>
        <n v="2"/>
        <n v="90"/>
        <n v="28"/>
        <n v="95"/>
        <n v="15"/>
        <n v="36"/>
        <n v="29"/>
        <n v="67"/>
        <n v="87"/>
        <n v="62"/>
        <n v="94"/>
        <n v="7"/>
        <n v="42"/>
        <n v="66"/>
        <n v="46"/>
        <n v="50"/>
        <n v="57"/>
        <n v="64"/>
        <n v="14"/>
        <n v="11"/>
        <n v="96"/>
        <n v="74"/>
        <n v="4"/>
        <n v="27"/>
        <n v="56"/>
        <n v="75"/>
        <n v="53"/>
        <n v="32"/>
        <n v="80"/>
        <n v="5"/>
        <n v="55"/>
        <n v="81"/>
        <n v="35"/>
        <n v="3"/>
        <n v="16"/>
        <n v="76"/>
      </sharedItems>
    </cacheField>
    <cacheField name="UnitCost" numFmtId="166">
      <sharedItems containsSemiMixedTypes="0" containsString="0" containsNumber="1" minValue="1.29" maxValue="275"/>
    </cacheField>
    <cacheField name="Total" numFmtId="166">
      <sharedItems containsSemiMixedTypes="0" containsString="0" containsNumber="1" minValue="9.0299999999999994" maxValue="1879.06" count="41">
        <n v="299.39999999999998"/>
        <n v="250"/>
        <n v="449.1"/>
        <n v="251.72"/>
        <n v="189.05"/>
        <n v="539.4"/>
        <n v="299.85000000000002"/>
        <n v="179.64"/>
        <n v="57.71"/>
        <n v="86.43"/>
        <n v="1305"/>
        <n v="309.38"/>
        <n v="1879.06"/>
        <n v="139.93"/>
        <n v="1005.9"/>
        <n v="131.34"/>
        <n v="9.0299999999999994"/>
        <n v="413.54"/>
        <n v="999.5"/>
        <n v="1139.43"/>
        <n v="575.36"/>
        <n v="18.059999999999999"/>
        <n v="54.89"/>
        <n v="479.04"/>
        <n v="139.72"/>
        <n v="1183.26"/>
        <n v="19.96"/>
        <n v="539.73"/>
        <n v="167.44"/>
        <n v="249.5"/>
        <n v="149.25"/>
        <n v="68.37"/>
        <n v="63.68"/>
        <n v="719.2"/>
        <n v="625"/>
        <n v="686.95"/>
        <n v="1619.19"/>
        <n v="174.65"/>
        <n v="825"/>
        <n v="255.84"/>
        <n v="151.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x v="0"/>
    <s v="Jones"/>
    <x v="0"/>
    <x v="0"/>
    <n v="4.99"/>
    <x v="0"/>
  </r>
  <r>
    <x v="1"/>
    <x v="1"/>
    <s v="Smith"/>
    <x v="1"/>
    <x v="1"/>
    <n v="125"/>
    <x v="1"/>
  </r>
  <r>
    <x v="2"/>
    <x v="1"/>
    <s v="Jardine"/>
    <x v="2"/>
    <x v="2"/>
    <n v="4.99"/>
    <x v="2"/>
  </r>
  <r>
    <x v="3"/>
    <x v="1"/>
    <s v="Morgan"/>
    <x v="0"/>
    <x v="3"/>
    <n v="8.99"/>
    <x v="3"/>
  </r>
  <r>
    <x v="4"/>
    <x v="0"/>
    <s v="Jones"/>
    <x v="2"/>
    <x v="4"/>
    <n v="1.99"/>
    <x v="4"/>
  </r>
  <r>
    <x v="5"/>
    <x v="0"/>
    <s v="Jones"/>
    <x v="0"/>
    <x v="0"/>
    <n v="8.99"/>
    <x v="5"/>
  </r>
  <r>
    <x v="6"/>
    <x v="0"/>
    <s v="Parent"/>
    <x v="3"/>
    <x v="5"/>
    <n v="19.989999999999998"/>
    <x v="6"/>
  </r>
  <r>
    <x v="7"/>
    <x v="1"/>
    <s v="Jardine"/>
    <x v="2"/>
    <x v="6"/>
    <n v="4.99"/>
    <x v="7"/>
  </r>
  <r>
    <x v="8"/>
    <x v="0"/>
    <s v="Howard"/>
    <x v="0"/>
    <x v="7"/>
    <n v="1.99"/>
    <x v="8"/>
  </r>
  <r>
    <x v="9"/>
    <x v="1"/>
    <s v="Smith"/>
    <x v="2"/>
    <x v="8"/>
    <n v="1.29"/>
    <x v="9"/>
  </r>
  <r>
    <x v="10"/>
    <x v="1"/>
    <s v="Smith"/>
    <x v="0"/>
    <x v="9"/>
    <n v="15"/>
    <x v="10"/>
  </r>
  <r>
    <x v="11"/>
    <x v="0"/>
    <s v="Jones"/>
    <x v="4"/>
    <x v="10"/>
    <n v="4.99"/>
    <x v="11"/>
  </r>
  <r>
    <x v="12"/>
    <x v="1"/>
    <s v="Jardine"/>
    <x v="0"/>
    <x v="11"/>
    <n v="19.989999999999998"/>
    <x v="12"/>
  </r>
  <r>
    <x v="13"/>
    <x v="2"/>
    <s v="Sorvino"/>
    <x v="0"/>
    <x v="12"/>
    <n v="19.989999999999998"/>
    <x v="13"/>
  </r>
  <r>
    <x v="14"/>
    <x v="1"/>
    <s v="Kivell"/>
    <x v="4"/>
    <x v="13"/>
    <n v="23.95"/>
    <x v="14"/>
  </r>
  <r>
    <x v="15"/>
    <x v="1"/>
    <s v="Andrews"/>
    <x v="2"/>
    <x v="14"/>
    <n v="1.99"/>
    <x v="15"/>
  </r>
  <r>
    <x v="16"/>
    <x v="1"/>
    <s v="Gill"/>
    <x v="2"/>
    <x v="12"/>
    <n v="1.29"/>
    <x v="16"/>
  </r>
  <r>
    <x v="17"/>
    <x v="1"/>
    <s v="Gill"/>
    <x v="0"/>
    <x v="15"/>
    <n v="8.99"/>
    <x v="17"/>
  </r>
  <r>
    <x v="18"/>
    <x v="1"/>
    <s v="Kivell"/>
    <x v="0"/>
    <x v="16"/>
    <n v="19.989999999999998"/>
    <x v="18"/>
  </r>
  <r>
    <x v="19"/>
    <x v="2"/>
    <s v="Thompson"/>
    <x v="0"/>
    <x v="17"/>
    <n v="19.989999999999998"/>
    <x v="19"/>
  </r>
  <r>
    <x v="20"/>
    <x v="0"/>
    <s v="Jones"/>
    <x v="3"/>
    <x v="18"/>
    <n v="8.99"/>
    <x v="20"/>
  </r>
  <r>
    <x v="21"/>
    <x v="1"/>
    <s v="Andrews"/>
    <x v="2"/>
    <x v="19"/>
    <n v="1.29"/>
    <x v="21"/>
  </r>
  <r>
    <x v="22"/>
    <x v="1"/>
    <s v="Jardine"/>
    <x v="0"/>
    <x v="20"/>
    <n v="4.99"/>
    <x v="22"/>
  </r>
  <r>
    <x v="23"/>
    <x v="1"/>
    <s v="Kivell"/>
    <x v="4"/>
    <x v="21"/>
    <n v="4.99"/>
    <x v="23"/>
  </r>
  <r>
    <x v="24"/>
    <x v="1"/>
    <s v="Andrews"/>
    <x v="0"/>
    <x v="3"/>
    <n v="4.99"/>
    <x v="24"/>
  </r>
  <r>
    <x v="25"/>
    <x v="0"/>
    <s v="Parent"/>
    <x v="4"/>
    <x v="22"/>
    <n v="15.99"/>
    <x v="25"/>
  </r>
  <r>
    <x v="26"/>
    <x v="0"/>
    <s v="Jones"/>
    <x v="0"/>
    <x v="23"/>
    <n v="4.99"/>
    <x v="26"/>
  </r>
  <r>
    <x v="27"/>
    <x v="1"/>
    <s v="Gill"/>
    <x v="3"/>
    <x v="24"/>
    <n v="19.989999999999998"/>
    <x v="27"/>
  </r>
  <r>
    <x v="28"/>
    <x v="2"/>
    <s v="Sorvino"/>
    <x v="2"/>
    <x v="25"/>
    <n v="2.99"/>
    <x v="28"/>
  </r>
  <r>
    <x v="29"/>
    <x v="1"/>
    <s v="Jardine"/>
    <x v="4"/>
    <x v="16"/>
    <n v="4.99"/>
    <x v="29"/>
  </r>
  <r>
    <x v="30"/>
    <x v="1"/>
    <s v="Andrews"/>
    <x v="2"/>
    <x v="26"/>
    <n v="1.99"/>
    <x v="30"/>
  </r>
  <r>
    <x v="31"/>
    <x v="0"/>
    <s v="Howard"/>
    <x v="3"/>
    <x v="21"/>
    <n v="4.99"/>
    <x v="23"/>
  </r>
  <r>
    <x v="32"/>
    <x v="1"/>
    <s v="Gill"/>
    <x v="2"/>
    <x v="27"/>
    <n v="1.29"/>
    <x v="31"/>
  </r>
  <r>
    <x v="33"/>
    <x v="2"/>
    <s v="Thompson"/>
    <x v="2"/>
    <x v="28"/>
    <n v="1.99"/>
    <x v="32"/>
  </r>
  <r>
    <x v="34"/>
    <x v="1"/>
    <s v="Gill"/>
    <x v="0"/>
    <x v="29"/>
    <n v="8.99"/>
    <x v="33"/>
  </r>
  <r>
    <x v="35"/>
    <x v="1"/>
    <s v="Kivell"/>
    <x v="1"/>
    <x v="30"/>
    <n v="125"/>
    <x v="34"/>
  </r>
  <r>
    <x v="36"/>
    <x v="1"/>
    <s v="Morgan"/>
    <x v="2"/>
    <x v="2"/>
    <n v="4.99"/>
    <x v="2"/>
  </r>
  <r>
    <x v="37"/>
    <x v="1"/>
    <s v="Morgan"/>
    <x v="4"/>
    <x v="31"/>
    <n v="12.49"/>
    <x v="35"/>
  </r>
  <r>
    <x v="38"/>
    <x v="0"/>
    <s v="Parent"/>
    <x v="0"/>
    <x v="32"/>
    <n v="19.989999999999998"/>
    <x v="36"/>
  </r>
  <r>
    <x v="39"/>
    <x v="0"/>
    <s v="Jones"/>
    <x v="2"/>
    <x v="33"/>
    <n v="4.99"/>
    <x v="37"/>
  </r>
  <r>
    <x v="40"/>
    <x v="2"/>
    <s v="Sorvino"/>
    <x v="1"/>
    <x v="34"/>
    <n v="275"/>
    <x v="38"/>
  </r>
  <r>
    <x v="41"/>
    <x v="0"/>
    <s v="Jones"/>
    <x v="4"/>
    <x v="35"/>
    <n v="15.99"/>
    <x v="39"/>
  </r>
  <r>
    <x v="42"/>
    <x v="2"/>
    <s v="Sorvino"/>
    <x v="3"/>
    <x v="36"/>
    <n v="1.99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showHeaders="0" outline="1" outlineData="1" multipleFieldFilters="0" chartFormat="1" colHeaderCaption="total sale of atom in region wise">
  <location ref="A3:G8" firstHeaderRow="1" firstDataRow="2" firstDataCol="1"/>
  <pivotFields count="7"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6">
        <item x="0"/>
        <item x="1"/>
        <item x="3"/>
        <item x="4"/>
        <item x="2"/>
        <item t="default"/>
      </items>
    </pivotField>
    <pivotField numFmtId="2" showAll="0"/>
    <pivotField numFmtId="166" showAll="0"/>
    <pivotField dataField="1" numFmtId="166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" fld="6" baseField="0" baseItem="0"/>
  </dataFields>
  <formats count="1">
    <format dxfId="0">
      <pivotArea type="all" dataOnly="0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44" totalsRowShown="0" headerRowDxfId="11" headerRowBorderDxfId="10" tableBorderDxfId="9" totalsRowBorderDxfId="8">
  <autoFilter ref="A1:G44"/>
  <sortState ref="A2:G44">
    <sortCondition descending="1" ref="G1:G44"/>
  </sortState>
  <tableColumns count="7">
    <tableColumn id="1" name="OrderDate" dataDxfId="7"/>
    <tableColumn id="2" name="Region" dataDxfId="6"/>
    <tableColumn id="3" name="Rep" dataDxfId="5"/>
    <tableColumn id="4" name="Item" dataDxfId="4"/>
    <tableColumn id="5" name="Units" dataDxfId="3"/>
    <tableColumn id="6" name="UnitCost" dataDxfId="2"/>
    <tableColumn id="7" name="Total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26" workbookViewId="0">
      <selection activeCell="G2" sqref="G2:G44"/>
    </sheetView>
  </sheetViews>
  <sheetFormatPr defaultRowHeight="14.5" x14ac:dyDescent="0.35"/>
  <cols>
    <col min="1" max="1" width="10.08984375" bestFit="1" customWidth="1"/>
  </cols>
  <sheetData>
    <row r="1" spans="1:7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1">
        <v>45295</v>
      </c>
      <c r="B2" s="24" t="s">
        <v>7</v>
      </c>
      <c r="C2" s="24" t="s">
        <v>8</v>
      </c>
      <c r="D2" s="24" t="s">
        <v>13</v>
      </c>
      <c r="E2" s="23">
        <v>60</v>
      </c>
      <c r="F2" s="22">
        <v>4.99</v>
      </c>
      <c r="G2" s="22">
        <v>299.39999999999998</v>
      </c>
    </row>
    <row r="3" spans="1:7" x14ac:dyDescent="0.35">
      <c r="A3" s="21">
        <v>45300</v>
      </c>
      <c r="B3" s="24" t="s">
        <v>11</v>
      </c>
      <c r="C3" s="24" t="s">
        <v>31</v>
      </c>
      <c r="D3" s="24" t="s">
        <v>32</v>
      </c>
      <c r="E3" s="23">
        <v>2</v>
      </c>
      <c r="F3" s="22">
        <v>125</v>
      </c>
      <c r="G3" s="22">
        <v>250</v>
      </c>
    </row>
    <row r="4" spans="1:7" x14ac:dyDescent="0.35">
      <c r="A4" s="21">
        <v>45417</v>
      </c>
      <c r="B4" s="24" t="s">
        <v>11</v>
      </c>
      <c r="C4" s="24" t="s">
        <v>14</v>
      </c>
      <c r="D4" s="24" t="s">
        <v>9</v>
      </c>
      <c r="E4" s="23">
        <v>90</v>
      </c>
      <c r="F4" s="22">
        <v>4.99</v>
      </c>
      <c r="G4" s="22">
        <v>449.1</v>
      </c>
    </row>
    <row r="5" spans="1:7" x14ac:dyDescent="0.35">
      <c r="A5" s="21">
        <v>45422</v>
      </c>
      <c r="B5" s="24" t="s">
        <v>11</v>
      </c>
      <c r="C5" s="24" t="s">
        <v>26</v>
      </c>
      <c r="D5" s="24" t="s">
        <v>13</v>
      </c>
      <c r="E5" s="23">
        <v>28</v>
      </c>
      <c r="F5" s="22">
        <v>8.99</v>
      </c>
      <c r="G5" s="22">
        <v>251.72</v>
      </c>
    </row>
    <row r="6" spans="1:7" x14ac:dyDescent="0.35">
      <c r="A6" s="21">
        <v>45444</v>
      </c>
      <c r="B6" s="24" t="s">
        <v>7</v>
      </c>
      <c r="C6" s="24" t="s">
        <v>8</v>
      </c>
      <c r="D6" s="24" t="s">
        <v>9</v>
      </c>
      <c r="E6" s="23">
        <v>95</v>
      </c>
      <c r="F6" s="22">
        <v>1.99</v>
      </c>
      <c r="G6" s="22">
        <v>189.05</v>
      </c>
    </row>
    <row r="7" spans="1:7" x14ac:dyDescent="0.35">
      <c r="A7" s="21">
        <v>45510</v>
      </c>
      <c r="B7" s="24" t="s">
        <v>7</v>
      </c>
      <c r="C7" s="24" t="s">
        <v>8</v>
      </c>
      <c r="D7" s="24" t="s">
        <v>13</v>
      </c>
      <c r="E7" s="23">
        <v>60</v>
      </c>
      <c r="F7" s="22">
        <v>8.99</v>
      </c>
      <c r="G7" s="22">
        <v>539.4</v>
      </c>
    </row>
    <row r="8" spans="1:7" x14ac:dyDescent="0.35">
      <c r="A8" s="21">
        <v>45515</v>
      </c>
      <c r="B8" s="24" t="s">
        <v>7</v>
      </c>
      <c r="C8" s="24" t="s">
        <v>29</v>
      </c>
      <c r="D8" s="24" t="s">
        <v>17</v>
      </c>
      <c r="E8" s="23">
        <v>15</v>
      </c>
      <c r="F8" s="22">
        <v>19.989999999999998</v>
      </c>
      <c r="G8" s="22">
        <v>299.85000000000002</v>
      </c>
    </row>
    <row r="9" spans="1:7" x14ac:dyDescent="0.35">
      <c r="A9" s="21">
        <v>45537</v>
      </c>
      <c r="B9" s="24" t="s">
        <v>11</v>
      </c>
      <c r="C9" s="24" t="s">
        <v>14</v>
      </c>
      <c r="D9" s="24" t="s">
        <v>9</v>
      </c>
      <c r="E9" s="23">
        <v>36</v>
      </c>
      <c r="F9" s="22">
        <v>4.99</v>
      </c>
      <c r="G9" s="22">
        <v>179.64</v>
      </c>
    </row>
    <row r="10" spans="1:7" x14ac:dyDescent="0.35">
      <c r="A10" s="21">
        <v>45633</v>
      </c>
      <c r="B10" s="24" t="s">
        <v>7</v>
      </c>
      <c r="C10" s="24" t="s">
        <v>27</v>
      </c>
      <c r="D10" s="24" t="s">
        <v>13</v>
      </c>
      <c r="E10" s="23">
        <v>29</v>
      </c>
      <c r="F10" s="22">
        <v>1.99</v>
      </c>
      <c r="G10" s="22">
        <v>57.71</v>
      </c>
    </row>
    <row r="11" spans="1:7" x14ac:dyDescent="0.35">
      <c r="A11" s="21">
        <v>45638</v>
      </c>
      <c r="B11" s="24" t="s">
        <v>11</v>
      </c>
      <c r="C11" s="24" t="s">
        <v>31</v>
      </c>
      <c r="D11" s="24" t="s">
        <v>9</v>
      </c>
      <c r="E11" s="23">
        <v>67</v>
      </c>
      <c r="F11" s="22">
        <v>1.29</v>
      </c>
      <c r="G11" s="22">
        <v>86.43</v>
      </c>
    </row>
    <row r="12" spans="1:7" x14ac:dyDescent="0.35">
      <c r="A12" s="21">
        <v>45659</v>
      </c>
      <c r="B12" s="24" t="s">
        <v>11</v>
      </c>
      <c r="C12" s="24" t="s">
        <v>31</v>
      </c>
      <c r="D12" s="24" t="s">
        <v>13</v>
      </c>
      <c r="E12" s="23">
        <v>87</v>
      </c>
      <c r="F12" s="22">
        <v>15</v>
      </c>
      <c r="G12" s="22">
        <v>1305</v>
      </c>
    </row>
    <row r="13" spans="1:7" x14ac:dyDescent="0.35">
      <c r="A13" s="21">
        <v>45754</v>
      </c>
      <c r="B13" s="24" t="s">
        <v>7</v>
      </c>
      <c r="C13" s="24" t="s">
        <v>8</v>
      </c>
      <c r="D13" s="24" t="s">
        <v>34</v>
      </c>
      <c r="E13" s="23">
        <v>62</v>
      </c>
      <c r="F13" s="22">
        <v>4.99</v>
      </c>
      <c r="G13" s="22">
        <v>309.38</v>
      </c>
    </row>
    <row r="14" spans="1:7" x14ac:dyDescent="0.35">
      <c r="A14" s="21">
        <v>45759</v>
      </c>
      <c r="B14" s="24" t="s">
        <v>11</v>
      </c>
      <c r="C14" s="24" t="s">
        <v>14</v>
      </c>
      <c r="D14" s="24" t="s">
        <v>13</v>
      </c>
      <c r="E14" s="23">
        <v>94</v>
      </c>
      <c r="F14" s="22">
        <v>19.989999999999998</v>
      </c>
      <c r="G14" s="22">
        <v>1879.06</v>
      </c>
    </row>
    <row r="15" spans="1:7" x14ac:dyDescent="0.35">
      <c r="A15" s="21">
        <v>45841</v>
      </c>
      <c r="B15" s="24" t="s">
        <v>19</v>
      </c>
      <c r="C15" s="24" t="s">
        <v>20</v>
      </c>
      <c r="D15" s="24" t="s">
        <v>13</v>
      </c>
      <c r="E15" s="23">
        <v>7</v>
      </c>
      <c r="F15" s="22">
        <v>19.989999999999998</v>
      </c>
      <c r="G15" s="22">
        <v>139.93</v>
      </c>
    </row>
    <row r="16" spans="1:7" x14ac:dyDescent="0.35">
      <c r="A16" s="21">
        <v>45846</v>
      </c>
      <c r="B16" s="24" t="s">
        <v>11</v>
      </c>
      <c r="C16" s="24" t="s">
        <v>12</v>
      </c>
      <c r="D16" s="24" t="s">
        <v>34</v>
      </c>
      <c r="E16" s="23">
        <v>42</v>
      </c>
      <c r="F16" s="22">
        <v>23.95</v>
      </c>
      <c r="G16" s="22">
        <v>1005.9</v>
      </c>
    </row>
    <row r="17" spans="1:7" x14ac:dyDescent="0.35">
      <c r="A17" s="21">
        <v>45934</v>
      </c>
      <c r="B17" s="24" t="s">
        <v>11</v>
      </c>
      <c r="C17" s="24" t="s">
        <v>22</v>
      </c>
      <c r="D17" s="24" t="s">
        <v>9</v>
      </c>
      <c r="E17" s="23">
        <v>66</v>
      </c>
      <c r="F17" s="22">
        <v>1.99</v>
      </c>
      <c r="G17" s="22">
        <v>131.34</v>
      </c>
    </row>
    <row r="18" spans="1:7" x14ac:dyDescent="0.35">
      <c r="A18" s="21">
        <v>45939</v>
      </c>
      <c r="B18" s="24" t="s">
        <v>11</v>
      </c>
      <c r="C18" s="24" t="s">
        <v>16</v>
      </c>
      <c r="D18" s="24" t="s">
        <v>9</v>
      </c>
      <c r="E18" s="23">
        <v>7</v>
      </c>
      <c r="F18" s="22">
        <v>1.29</v>
      </c>
      <c r="G18" s="22">
        <v>9.0299999999999994</v>
      </c>
    </row>
    <row r="19" spans="1:7" x14ac:dyDescent="0.35">
      <c r="A19" s="21" t="s">
        <v>38</v>
      </c>
      <c r="B19" s="24" t="s">
        <v>11</v>
      </c>
      <c r="C19" s="24" t="s">
        <v>16</v>
      </c>
      <c r="D19" s="24" t="s">
        <v>13</v>
      </c>
      <c r="E19" s="23">
        <v>46</v>
      </c>
      <c r="F19" s="22">
        <v>8.99</v>
      </c>
      <c r="G19" s="22">
        <v>413.54</v>
      </c>
    </row>
    <row r="20" spans="1:7" x14ac:dyDescent="0.35">
      <c r="A20" s="21" t="s">
        <v>10</v>
      </c>
      <c r="B20" s="24" t="s">
        <v>11</v>
      </c>
      <c r="C20" s="24" t="s">
        <v>12</v>
      </c>
      <c r="D20" s="24" t="s">
        <v>13</v>
      </c>
      <c r="E20" s="23">
        <v>50</v>
      </c>
      <c r="F20" s="22">
        <v>19.989999999999998</v>
      </c>
      <c r="G20" s="22">
        <v>999.5</v>
      </c>
    </row>
    <row r="21" spans="1:7" ht="29" x14ac:dyDescent="0.35">
      <c r="A21" s="21" t="s">
        <v>48</v>
      </c>
      <c r="B21" s="24" t="s">
        <v>19</v>
      </c>
      <c r="C21" s="24" t="s">
        <v>24</v>
      </c>
      <c r="D21" s="24" t="s">
        <v>13</v>
      </c>
      <c r="E21" s="23">
        <v>57</v>
      </c>
      <c r="F21" s="22">
        <v>19.989999999999998</v>
      </c>
      <c r="G21" s="22">
        <v>1139.43</v>
      </c>
    </row>
    <row r="22" spans="1:7" ht="29" x14ac:dyDescent="0.35">
      <c r="A22" s="21" t="s">
        <v>35</v>
      </c>
      <c r="B22" s="24" t="s">
        <v>7</v>
      </c>
      <c r="C22" s="24" t="s">
        <v>8</v>
      </c>
      <c r="D22" s="24" t="s">
        <v>17</v>
      </c>
      <c r="E22" s="23">
        <v>64</v>
      </c>
      <c r="F22" s="22">
        <v>8.99</v>
      </c>
      <c r="G22" s="22">
        <v>575.36</v>
      </c>
    </row>
    <row r="23" spans="1:7" ht="29" x14ac:dyDescent="0.35">
      <c r="A23" s="21" t="s">
        <v>49</v>
      </c>
      <c r="B23" s="24" t="s">
        <v>11</v>
      </c>
      <c r="C23" s="24" t="s">
        <v>22</v>
      </c>
      <c r="D23" s="24" t="s">
        <v>9</v>
      </c>
      <c r="E23" s="23">
        <v>14</v>
      </c>
      <c r="F23" s="22">
        <v>1.29</v>
      </c>
      <c r="G23" s="22">
        <v>18.059999999999999</v>
      </c>
    </row>
    <row r="24" spans="1:7" ht="29" x14ac:dyDescent="0.35">
      <c r="A24" s="21" t="s">
        <v>50</v>
      </c>
      <c r="B24" s="24" t="s">
        <v>11</v>
      </c>
      <c r="C24" s="24" t="s">
        <v>14</v>
      </c>
      <c r="D24" s="24" t="s">
        <v>13</v>
      </c>
      <c r="E24" s="23">
        <v>11</v>
      </c>
      <c r="F24" s="22">
        <v>4.99</v>
      </c>
      <c r="G24" s="22">
        <v>54.89</v>
      </c>
    </row>
    <row r="25" spans="1:7" ht="29" x14ac:dyDescent="0.35">
      <c r="A25" s="21" t="s">
        <v>36</v>
      </c>
      <c r="B25" s="24" t="s">
        <v>11</v>
      </c>
      <c r="C25" s="24" t="s">
        <v>12</v>
      </c>
      <c r="D25" s="24" t="s">
        <v>34</v>
      </c>
      <c r="E25" s="23">
        <v>96</v>
      </c>
      <c r="F25" s="22">
        <v>4.99</v>
      </c>
      <c r="G25" s="22">
        <v>479.04</v>
      </c>
    </row>
    <row r="26" spans="1:7" ht="29" x14ac:dyDescent="0.35">
      <c r="A26" s="21" t="s">
        <v>51</v>
      </c>
      <c r="B26" s="24" t="s">
        <v>11</v>
      </c>
      <c r="C26" s="24" t="s">
        <v>22</v>
      </c>
      <c r="D26" s="24" t="s">
        <v>13</v>
      </c>
      <c r="E26" s="23">
        <v>28</v>
      </c>
      <c r="F26" s="22">
        <v>4.99</v>
      </c>
      <c r="G26" s="22">
        <v>139.72</v>
      </c>
    </row>
    <row r="27" spans="1:7" ht="29" x14ac:dyDescent="0.35">
      <c r="A27" s="21" t="s">
        <v>37</v>
      </c>
      <c r="B27" s="24" t="s">
        <v>7</v>
      </c>
      <c r="C27" s="24" t="s">
        <v>29</v>
      </c>
      <c r="D27" s="24" t="s">
        <v>34</v>
      </c>
      <c r="E27" s="23">
        <v>74</v>
      </c>
      <c r="F27" s="22">
        <v>15.99</v>
      </c>
      <c r="G27" s="22">
        <v>1183.26</v>
      </c>
    </row>
    <row r="28" spans="1:7" x14ac:dyDescent="0.35">
      <c r="A28" s="21" t="s">
        <v>39</v>
      </c>
      <c r="B28" s="24" t="s">
        <v>7</v>
      </c>
      <c r="C28" s="24" t="s">
        <v>8</v>
      </c>
      <c r="D28" s="24" t="s">
        <v>13</v>
      </c>
      <c r="E28" s="23">
        <v>4</v>
      </c>
      <c r="F28" s="22">
        <v>4.99</v>
      </c>
      <c r="G28" s="22">
        <v>19.96</v>
      </c>
    </row>
    <row r="29" spans="1:7" x14ac:dyDescent="0.35">
      <c r="A29" s="21" t="s">
        <v>15</v>
      </c>
      <c r="B29" s="24" t="s">
        <v>11</v>
      </c>
      <c r="C29" s="24" t="s">
        <v>16</v>
      </c>
      <c r="D29" s="24" t="s">
        <v>17</v>
      </c>
      <c r="E29" s="23">
        <v>27</v>
      </c>
      <c r="F29" s="22">
        <v>19.989999999999998</v>
      </c>
      <c r="G29" s="22">
        <v>539.73</v>
      </c>
    </row>
    <row r="30" spans="1:7" x14ac:dyDescent="0.35">
      <c r="A30" s="21" t="s">
        <v>18</v>
      </c>
      <c r="B30" s="24" t="s">
        <v>19</v>
      </c>
      <c r="C30" s="24" t="s">
        <v>20</v>
      </c>
      <c r="D30" s="24" t="s">
        <v>9</v>
      </c>
      <c r="E30" s="23">
        <v>56</v>
      </c>
      <c r="F30" s="22">
        <v>2.99</v>
      </c>
      <c r="G30" s="22">
        <v>167.44</v>
      </c>
    </row>
    <row r="31" spans="1:7" x14ac:dyDescent="0.35">
      <c r="A31" s="21" t="s">
        <v>40</v>
      </c>
      <c r="B31" s="24" t="s">
        <v>11</v>
      </c>
      <c r="C31" s="24" t="s">
        <v>14</v>
      </c>
      <c r="D31" s="24" t="s">
        <v>34</v>
      </c>
      <c r="E31" s="23">
        <v>50</v>
      </c>
      <c r="F31" s="22">
        <v>4.99</v>
      </c>
      <c r="G31" s="22">
        <v>249.5</v>
      </c>
    </row>
    <row r="32" spans="1:7" x14ac:dyDescent="0.35">
      <c r="A32" s="21" t="s">
        <v>21</v>
      </c>
      <c r="B32" s="24" t="s">
        <v>11</v>
      </c>
      <c r="C32" s="24" t="s">
        <v>22</v>
      </c>
      <c r="D32" s="24" t="s">
        <v>9</v>
      </c>
      <c r="E32" s="23">
        <v>75</v>
      </c>
      <c r="F32" s="22">
        <v>1.99</v>
      </c>
      <c r="G32" s="22">
        <v>149.25</v>
      </c>
    </row>
    <row r="33" spans="1:7" x14ac:dyDescent="0.35">
      <c r="A33" s="21" t="s">
        <v>41</v>
      </c>
      <c r="B33" s="24" t="s">
        <v>7</v>
      </c>
      <c r="C33" s="24" t="s">
        <v>27</v>
      </c>
      <c r="D33" s="24" t="s">
        <v>17</v>
      </c>
      <c r="E33" s="23">
        <v>96</v>
      </c>
      <c r="F33" s="22">
        <v>4.99</v>
      </c>
      <c r="G33" s="22">
        <v>479.04</v>
      </c>
    </row>
    <row r="34" spans="1:7" x14ac:dyDescent="0.35">
      <c r="A34" s="21" t="s">
        <v>42</v>
      </c>
      <c r="B34" s="24" t="s">
        <v>11</v>
      </c>
      <c r="C34" s="24" t="s">
        <v>16</v>
      </c>
      <c r="D34" s="24" t="s">
        <v>9</v>
      </c>
      <c r="E34" s="23">
        <v>53</v>
      </c>
      <c r="F34" s="22">
        <v>1.29</v>
      </c>
      <c r="G34" s="22">
        <v>68.37</v>
      </c>
    </row>
    <row r="35" spans="1:7" ht="29" x14ac:dyDescent="0.35">
      <c r="A35" s="21" t="s">
        <v>23</v>
      </c>
      <c r="B35" s="24" t="s">
        <v>19</v>
      </c>
      <c r="C35" s="24" t="s">
        <v>24</v>
      </c>
      <c r="D35" s="24" t="s">
        <v>9</v>
      </c>
      <c r="E35" s="23">
        <v>32</v>
      </c>
      <c r="F35" s="22">
        <v>1.99</v>
      </c>
      <c r="G35" s="22">
        <v>63.68</v>
      </c>
    </row>
    <row r="36" spans="1:7" x14ac:dyDescent="0.35">
      <c r="A36" s="21" t="s">
        <v>43</v>
      </c>
      <c r="B36" s="24" t="s">
        <v>11</v>
      </c>
      <c r="C36" s="24" t="s">
        <v>16</v>
      </c>
      <c r="D36" s="24" t="s">
        <v>13</v>
      </c>
      <c r="E36" s="23">
        <v>80</v>
      </c>
      <c r="F36" s="22">
        <v>8.99</v>
      </c>
      <c r="G36" s="22">
        <v>719.2</v>
      </c>
    </row>
    <row r="37" spans="1:7" x14ac:dyDescent="0.35">
      <c r="A37" s="21" t="s">
        <v>44</v>
      </c>
      <c r="B37" s="24" t="s">
        <v>11</v>
      </c>
      <c r="C37" s="24" t="s">
        <v>12</v>
      </c>
      <c r="D37" s="24" t="s">
        <v>32</v>
      </c>
      <c r="E37" s="23">
        <v>5</v>
      </c>
      <c r="F37" s="22">
        <v>125</v>
      </c>
      <c r="G37" s="22">
        <v>625</v>
      </c>
    </row>
    <row r="38" spans="1:7" x14ac:dyDescent="0.35">
      <c r="A38" s="21" t="s">
        <v>25</v>
      </c>
      <c r="B38" s="24" t="s">
        <v>11</v>
      </c>
      <c r="C38" s="24" t="s">
        <v>26</v>
      </c>
      <c r="D38" s="24" t="s">
        <v>9</v>
      </c>
      <c r="E38" s="23">
        <v>90</v>
      </c>
      <c r="F38" s="22">
        <v>4.99</v>
      </c>
      <c r="G38" s="22">
        <v>449.1</v>
      </c>
    </row>
    <row r="39" spans="1:7" x14ac:dyDescent="0.35">
      <c r="A39" s="21" t="s">
        <v>45</v>
      </c>
      <c r="B39" s="24" t="s">
        <v>11</v>
      </c>
      <c r="C39" s="24" t="s">
        <v>26</v>
      </c>
      <c r="D39" s="24" t="s">
        <v>34</v>
      </c>
      <c r="E39" s="23">
        <v>55</v>
      </c>
      <c r="F39" s="22">
        <v>12.49</v>
      </c>
      <c r="G39" s="22">
        <v>686.95</v>
      </c>
    </row>
    <row r="40" spans="1:7" x14ac:dyDescent="0.35">
      <c r="A40" s="21" t="s">
        <v>28</v>
      </c>
      <c r="B40" s="24" t="s">
        <v>7</v>
      </c>
      <c r="C40" s="24" t="s">
        <v>29</v>
      </c>
      <c r="D40" s="24" t="s">
        <v>13</v>
      </c>
      <c r="E40" s="23">
        <v>81</v>
      </c>
      <c r="F40" s="22">
        <v>19.989999999999998</v>
      </c>
      <c r="G40" s="22">
        <v>1619.19</v>
      </c>
    </row>
    <row r="41" spans="1:7" x14ac:dyDescent="0.35">
      <c r="A41" s="21" t="s">
        <v>30</v>
      </c>
      <c r="B41" s="24" t="s">
        <v>7</v>
      </c>
      <c r="C41" s="24" t="s">
        <v>8</v>
      </c>
      <c r="D41" s="24" t="s">
        <v>9</v>
      </c>
      <c r="E41" s="23">
        <v>35</v>
      </c>
      <c r="F41" s="22">
        <v>4.99</v>
      </c>
      <c r="G41" s="22">
        <v>174.65</v>
      </c>
    </row>
    <row r="42" spans="1:7" x14ac:dyDescent="0.35">
      <c r="A42" s="21" t="s">
        <v>46</v>
      </c>
      <c r="B42" s="24" t="s">
        <v>19</v>
      </c>
      <c r="C42" s="24" t="s">
        <v>20</v>
      </c>
      <c r="D42" s="24" t="s">
        <v>32</v>
      </c>
      <c r="E42" s="23">
        <v>3</v>
      </c>
      <c r="F42" s="22">
        <v>275</v>
      </c>
      <c r="G42" s="22">
        <v>825</v>
      </c>
    </row>
    <row r="43" spans="1:7" x14ac:dyDescent="0.35">
      <c r="A43" s="21" t="s">
        <v>33</v>
      </c>
      <c r="B43" s="24" t="s">
        <v>7</v>
      </c>
      <c r="C43" s="24" t="s">
        <v>8</v>
      </c>
      <c r="D43" s="24" t="s">
        <v>34</v>
      </c>
      <c r="E43" s="23">
        <v>16</v>
      </c>
      <c r="F43" s="22">
        <v>15.99</v>
      </c>
      <c r="G43" s="22">
        <v>255.84</v>
      </c>
    </row>
    <row r="44" spans="1:7" x14ac:dyDescent="0.35">
      <c r="A44" s="21" t="s">
        <v>47</v>
      </c>
      <c r="B44" s="24" t="s">
        <v>19</v>
      </c>
      <c r="C44" s="24" t="s">
        <v>20</v>
      </c>
      <c r="D44" s="24" t="s">
        <v>17</v>
      </c>
      <c r="E44" s="23">
        <v>76</v>
      </c>
      <c r="F44" s="22">
        <v>1.99</v>
      </c>
      <c r="G44" s="22">
        <v>151.24</v>
      </c>
    </row>
  </sheetData>
  <sortState ref="A2:G44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I2" sqref="I2:K2"/>
    </sheetView>
  </sheetViews>
  <sheetFormatPr defaultRowHeight="14.5" x14ac:dyDescent="0.35"/>
  <cols>
    <col min="1" max="1" width="11.7265625" customWidth="1"/>
    <col min="2" max="2" width="9.1796875" customWidth="1"/>
    <col min="3" max="3" width="16" customWidth="1"/>
    <col min="4" max="4" width="11.1796875" customWidth="1"/>
    <col min="5" max="5" width="15.36328125" customWidth="1"/>
    <col min="6" max="6" width="12.08984375" customWidth="1"/>
    <col min="7" max="7" width="13.26953125" customWidth="1"/>
  </cols>
  <sheetData>
    <row r="1" spans="1:13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30" t="s">
        <v>6</v>
      </c>
    </row>
    <row r="2" spans="1:13" x14ac:dyDescent="0.35">
      <c r="A2" s="7">
        <v>45759</v>
      </c>
      <c r="B2" s="4" t="s">
        <v>11</v>
      </c>
      <c r="C2" s="4" t="s">
        <v>14</v>
      </c>
      <c r="D2" s="4" t="s">
        <v>13</v>
      </c>
      <c r="E2" s="5">
        <v>94</v>
      </c>
      <c r="F2" s="6">
        <v>19.989999999999998</v>
      </c>
      <c r="G2" s="8">
        <v>1879.06</v>
      </c>
      <c r="I2" s="40" t="s">
        <v>65</v>
      </c>
      <c r="J2" s="40"/>
      <c r="K2" s="40"/>
    </row>
    <row r="3" spans="1:13" x14ac:dyDescent="0.35">
      <c r="A3" s="7" t="s">
        <v>28</v>
      </c>
      <c r="B3" s="4" t="s">
        <v>7</v>
      </c>
      <c r="C3" s="4" t="s">
        <v>29</v>
      </c>
      <c r="D3" s="4" t="s">
        <v>13</v>
      </c>
      <c r="E3" s="5">
        <v>81</v>
      </c>
      <c r="F3" s="6">
        <v>19.989999999999998</v>
      </c>
      <c r="G3" s="8">
        <v>1619.19</v>
      </c>
    </row>
    <row r="4" spans="1:13" x14ac:dyDescent="0.35">
      <c r="A4" s="7">
        <v>45659</v>
      </c>
      <c r="B4" s="4" t="s">
        <v>11</v>
      </c>
      <c r="C4" s="4" t="s">
        <v>31</v>
      </c>
      <c r="D4" s="4" t="s">
        <v>13</v>
      </c>
      <c r="E4" s="5">
        <v>87</v>
      </c>
      <c r="F4" s="6">
        <v>15</v>
      </c>
      <c r="G4" s="8">
        <v>1305</v>
      </c>
      <c r="I4" s="38" t="s">
        <v>66</v>
      </c>
      <c r="J4" s="38"/>
      <c r="K4" s="38"/>
      <c r="L4" s="38"/>
    </row>
    <row r="5" spans="1:13" x14ac:dyDescent="0.35">
      <c r="A5" s="7" t="s">
        <v>37</v>
      </c>
      <c r="B5" s="4" t="s">
        <v>7</v>
      </c>
      <c r="C5" s="4" t="s">
        <v>29</v>
      </c>
      <c r="D5" s="4" t="s">
        <v>34</v>
      </c>
      <c r="E5" s="5">
        <v>74</v>
      </c>
      <c r="F5" s="6">
        <v>15.99</v>
      </c>
      <c r="G5" s="8">
        <v>1183.26</v>
      </c>
      <c r="I5" s="39" t="s">
        <v>67</v>
      </c>
      <c r="J5" s="39"/>
      <c r="K5" s="39"/>
      <c r="L5" s="39"/>
      <c r="M5" s="39"/>
    </row>
    <row r="6" spans="1:13" x14ac:dyDescent="0.35">
      <c r="A6" s="7" t="s">
        <v>48</v>
      </c>
      <c r="B6" s="4" t="s">
        <v>19</v>
      </c>
      <c r="C6" s="4" t="s">
        <v>24</v>
      </c>
      <c r="D6" s="4" t="s">
        <v>13</v>
      </c>
      <c r="E6" s="5">
        <v>57</v>
      </c>
      <c r="F6" s="6">
        <v>19.989999999999998</v>
      </c>
      <c r="G6" s="8">
        <v>1139.43</v>
      </c>
    </row>
    <row r="7" spans="1:13" x14ac:dyDescent="0.35">
      <c r="A7" s="7">
        <v>45846</v>
      </c>
      <c r="B7" s="4" t="s">
        <v>11</v>
      </c>
      <c r="C7" s="4" t="s">
        <v>12</v>
      </c>
      <c r="D7" s="4" t="s">
        <v>34</v>
      </c>
      <c r="E7" s="5">
        <v>42</v>
      </c>
      <c r="F7" s="6">
        <v>23.95</v>
      </c>
      <c r="G7" s="8">
        <v>1005.9</v>
      </c>
    </row>
    <row r="8" spans="1:13" x14ac:dyDescent="0.35">
      <c r="A8" s="7" t="s">
        <v>10</v>
      </c>
      <c r="B8" s="4" t="s">
        <v>11</v>
      </c>
      <c r="C8" s="4" t="s">
        <v>12</v>
      </c>
      <c r="D8" s="4" t="s">
        <v>13</v>
      </c>
      <c r="E8" s="5">
        <v>50</v>
      </c>
      <c r="F8" s="6">
        <v>19.989999999999998</v>
      </c>
      <c r="G8" s="8">
        <v>999.5</v>
      </c>
    </row>
    <row r="9" spans="1:13" x14ac:dyDescent="0.35">
      <c r="A9" s="7" t="s">
        <v>46</v>
      </c>
      <c r="B9" s="4" t="s">
        <v>19</v>
      </c>
      <c r="C9" s="4" t="s">
        <v>20</v>
      </c>
      <c r="D9" s="4" t="s">
        <v>32</v>
      </c>
      <c r="E9" s="5">
        <v>3</v>
      </c>
      <c r="F9" s="6">
        <v>275</v>
      </c>
      <c r="G9" s="8">
        <v>825</v>
      </c>
    </row>
    <row r="10" spans="1:13" x14ac:dyDescent="0.35">
      <c r="A10" s="7" t="s">
        <v>43</v>
      </c>
      <c r="B10" s="4" t="s">
        <v>11</v>
      </c>
      <c r="C10" s="4" t="s">
        <v>16</v>
      </c>
      <c r="D10" s="4" t="s">
        <v>13</v>
      </c>
      <c r="E10" s="5">
        <v>80</v>
      </c>
      <c r="F10" s="6">
        <v>8.99</v>
      </c>
      <c r="G10" s="8">
        <v>719.2</v>
      </c>
    </row>
    <row r="11" spans="1:13" x14ac:dyDescent="0.35">
      <c r="A11" s="7" t="s">
        <v>45</v>
      </c>
      <c r="B11" s="4" t="s">
        <v>11</v>
      </c>
      <c r="C11" s="4" t="s">
        <v>26</v>
      </c>
      <c r="D11" s="4" t="s">
        <v>34</v>
      </c>
      <c r="E11" s="5">
        <v>55</v>
      </c>
      <c r="F11" s="6">
        <v>12.49</v>
      </c>
      <c r="G11" s="8">
        <v>686.95</v>
      </c>
    </row>
    <row r="12" spans="1:13" x14ac:dyDescent="0.35">
      <c r="A12" s="7" t="s">
        <v>44</v>
      </c>
      <c r="B12" s="4" t="s">
        <v>11</v>
      </c>
      <c r="C12" s="4" t="s">
        <v>12</v>
      </c>
      <c r="D12" s="4" t="s">
        <v>32</v>
      </c>
      <c r="E12" s="5">
        <v>5</v>
      </c>
      <c r="F12" s="6">
        <v>125</v>
      </c>
      <c r="G12" s="8">
        <v>625</v>
      </c>
    </row>
    <row r="13" spans="1:13" x14ac:dyDescent="0.35">
      <c r="A13" s="7" t="s">
        <v>35</v>
      </c>
      <c r="B13" s="4" t="s">
        <v>7</v>
      </c>
      <c r="C13" s="4" t="s">
        <v>8</v>
      </c>
      <c r="D13" s="4" t="s">
        <v>17</v>
      </c>
      <c r="E13" s="5">
        <v>64</v>
      </c>
      <c r="F13" s="6">
        <v>8.99</v>
      </c>
      <c r="G13" s="8">
        <v>575.36</v>
      </c>
    </row>
    <row r="14" spans="1:13" x14ac:dyDescent="0.35">
      <c r="A14" s="7" t="s">
        <v>15</v>
      </c>
      <c r="B14" s="4" t="s">
        <v>11</v>
      </c>
      <c r="C14" s="4" t="s">
        <v>16</v>
      </c>
      <c r="D14" s="4" t="s">
        <v>17</v>
      </c>
      <c r="E14" s="5">
        <v>27</v>
      </c>
      <c r="F14" s="6">
        <v>19.989999999999998</v>
      </c>
      <c r="G14" s="8">
        <v>539.73</v>
      </c>
    </row>
    <row r="15" spans="1:13" x14ac:dyDescent="0.35">
      <c r="A15" s="7">
        <v>45510</v>
      </c>
      <c r="B15" s="4" t="s">
        <v>7</v>
      </c>
      <c r="C15" s="4" t="s">
        <v>8</v>
      </c>
      <c r="D15" s="4" t="s">
        <v>13</v>
      </c>
      <c r="E15" s="5">
        <v>60</v>
      </c>
      <c r="F15" s="6">
        <v>8.99</v>
      </c>
      <c r="G15" s="8">
        <v>539.4</v>
      </c>
    </row>
    <row r="16" spans="1:13" x14ac:dyDescent="0.35">
      <c r="A16" s="7" t="s">
        <v>36</v>
      </c>
      <c r="B16" s="4" t="s">
        <v>11</v>
      </c>
      <c r="C16" s="4" t="s">
        <v>12</v>
      </c>
      <c r="D16" s="4" t="s">
        <v>34</v>
      </c>
      <c r="E16" s="5">
        <v>96</v>
      </c>
      <c r="F16" s="6">
        <v>4.99</v>
      </c>
      <c r="G16" s="8">
        <v>479.04</v>
      </c>
    </row>
    <row r="17" spans="1:7" x14ac:dyDescent="0.35">
      <c r="A17" s="7" t="s">
        <v>41</v>
      </c>
      <c r="B17" s="4" t="s">
        <v>7</v>
      </c>
      <c r="C17" s="4" t="s">
        <v>27</v>
      </c>
      <c r="D17" s="4" t="s">
        <v>17</v>
      </c>
      <c r="E17" s="5">
        <v>96</v>
      </c>
      <c r="F17" s="6">
        <v>4.99</v>
      </c>
      <c r="G17" s="8">
        <v>479.04</v>
      </c>
    </row>
    <row r="18" spans="1:7" x14ac:dyDescent="0.35">
      <c r="A18" s="7">
        <v>45417</v>
      </c>
      <c r="B18" s="4" t="s">
        <v>11</v>
      </c>
      <c r="C18" s="4" t="s">
        <v>14</v>
      </c>
      <c r="D18" s="4" t="s">
        <v>9</v>
      </c>
      <c r="E18" s="5">
        <v>90</v>
      </c>
      <c r="F18" s="6">
        <v>4.99</v>
      </c>
      <c r="G18" s="8">
        <v>449.1</v>
      </c>
    </row>
    <row r="19" spans="1:7" x14ac:dyDescent="0.35">
      <c r="A19" s="7" t="s">
        <v>25</v>
      </c>
      <c r="B19" s="4" t="s">
        <v>11</v>
      </c>
      <c r="C19" s="4" t="s">
        <v>26</v>
      </c>
      <c r="D19" s="4" t="s">
        <v>9</v>
      </c>
      <c r="E19" s="5">
        <v>90</v>
      </c>
      <c r="F19" s="6">
        <v>4.99</v>
      </c>
      <c r="G19" s="8">
        <v>449.1</v>
      </c>
    </row>
    <row r="20" spans="1:7" x14ac:dyDescent="0.35">
      <c r="A20" s="7" t="s">
        <v>38</v>
      </c>
      <c r="B20" s="4" t="s">
        <v>11</v>
      </c>
      <c r="C20" s="4" t="s">
        <v>16</v>
      </c>
      <c r="D20" s="4" t="s">
        <v>13</v>
      </c>
      <c r="E20" s="5">
        <v>46</v>
      </c>
      <c r="F20" s="6">
        <v>8.99</v>
      </c>
      <c r="G20" s="8">
        <v>413.54</v>
      </c>
    </row>
    <row r="21" spans="1:7" x14ac:dyDescent="0.35">
      <c r="A21" s="7">
        <v>45754</v>
      </c>
      <c r="B21" s="4" t="s">
        <v>7</v>
      </c>
      <c r="C21" s="4" t="s">
        <v>8</v>
      </c>
      <c r="D21" s="4" t="s">
        <v>34</v>
      </c>
      <c r="E21" s="5">
        <v>62</v>
      </c>
      <c r="F21" s="6">
        <v>4.99</v>
      </c>
      <c r="G21" s="8">
        <v>309.38</v>
      </c>
    </row>
    <row r="22" spans="1:7" x14ac:dyDescent="0.35">
      <c r="A22" s="7">
        <v>45515</v>
      </c>
      <c r="B22" s="4" t="s">
        <v>7</v>
      </c>
      <c r="C22" s="4" t="s">
        <v>29</v>
      </c>
      <c r="D22" s="4" t="s">
        <v>17</v>
      </c>
      <c r="E22" s="5">
        <v>15</v>
      </c>
      <c r="F22" s="6">
        <v>19.989999999999998</v>
      </c>
      <c r="G22" s="8">
        <v>299.85000000000002</v>
      </c>
    </row>
    <row r="23" spans="1:7" x14ac:dyDescent="0.35">
      <c r="A23" s="7">
        <v>45295</v>
      </c>
      <c r="B23" s="4" t="s">
        <v>7</v>
      </c>
      <c r="C23" s="4" t="s">
        <v>8</v>
      </c>
      <c r="D23" s="4" t="s">
        <v>13</v>
      </c>
      <c r="E23" s="5">
        <v>60</v>
      </c>
      <c r="F23" s="6">
        <v>4.99</v>
      </c>
      <c r="G23" s="8">
        <v>299.39999999999998</v>
      </c>
    </row>
    <row r="24" spans="1:7" x14ac:dyDescent="0.35">
      <c r="A24" s="7" t="s">
        <v>33</v>
      </c>
      <c r="B24" s="4" t="s">
        <v>7</v>
      </c>
      <c r="C24" s="4" t="s">
        <v>8</v>
      </c>
      <c r="D24" s="4" t="s">
        <v>34</v>
      </c>
      <c r="E24" s="5">
        <v>16</v>
      </c>
      <c r="F24" s="6">
        <v>15.99</v>
      </c>
      <c r="G24" s="8">
        <v>255.84</v>
      </c>
    </row>
    <row r="25" spans="1:7" x14ac:dyDescent="0.35">
      <c r="A25" s="7">
        <v>45422</v>
      </c>
      <c r="B25" s="4" t="s">
        <v>11</v>
      </c>
      <c r="C25" s="4" t="s">
        <v>26</v>
      </c>
      <c r="D25" s="4" t="s">
        <v>13</v>
      </c>
      <c r="E25" s="5">
        <v>28</v>
      </c>
      <c r="F25" s="6">
        <v>8.99</v>
      </c>
      <c r="G25" s="8">
        <v>251.72</v>
      </c>
    </row>
    <row r="26" spans="1:7" x14ac:dyDescent="0.35">
      <c r="A26" s="7">
        <v>45300</v>
      </c>
      <c r="B26" s="4" t="s">
        <v>11</v>
      </c>
      <c r="C26" s="4" t="s">
        <v>31</v>
      </c>
      <c r="D26" s="4" t="s">
        <v>32</v>
      </c>
      <c r="E26" s="5">
        <v>2</v>
      </c>
      <c r="F26" s="6">
        <v>125</v>
      </c>
      <c r="G26" s="8">
        <v>250</v>
      </c>
    </row>
    <row r="27" spans="1:7" x14ac:dyDescent="0.35">
      <c r="A27" s="7" t="s">
        <v>40</v>
      </c>
      <c r="B27" s="4" t="s">
        <v>11</v>
      </c>
      <c r="C27" s="4" t="s">
        <v>14</v>
      </c>
      <c r="D27" s="4" t="s">
        <v>34</v>
      </c>
      <c r="E27" s="5">
        <v>50</v>
      </c>
      <c r="F27" s="6">
        <v>4.99</v>
      </c>
      <c r="G27" s="8">
        <v>249.5</v>
      </c>
    </row>
    <row r="28" spans="1:7" x14ac:dyDescent="0.35">
      <c r="A28" s="7">
        <v>45444</v>
      </c>
      <c r="B28" s="4" t="s">
        <v>7</v>
      </c>
      <c r="C28" s="4" t="s">
        <v>8</v>
      </c>
      <c r="D28" s="4" t="s">
        <v>9</v>
      </c>
      <c r="E28" s="5">
        <v>95</v>
      </c>
      <c r="F28" s="6">
        <v>1.99</v>
      </c>
      <c r="G28" s="8">
        <v>189.05</v>
      </c>
    </row>
    <row r="29" spans="1:7" x14ac:dyDescent="0.35">
      <c r="A29" s="7">
        <v>45537</v>
      </c>
      <c r="B29" s="4" t="s">
        <v>11</v>
      </c>
      <c r="C29" s="4" t="s">
        <v>14</v>
      </c>
      <c r="D29" s="4" t="s">
        <v>9</v>
      </c>
      <c r="E29" s="5">
        <v>36</v>
      </c>
      <c r="F29" s="6">
        <v>4.99</v>
      </c>
      <c r="G29" s="8">
        <v>179.64</v>
      </c>
    </row>
    <row r="30" spans="1:7" x14ac:dyDescent="0.35">
      <c r="A30" s="7" t="s">
        <v>30</v>
      </c>
      <c r="B30" s="4" t="s">
        <v>7</v>
      </c>
      <c r="C30" s="4" t="s">
        <v>8</v>
      </c>
      <c r="D30" s="4" t="s">
        <v>9</v>
      </c>
      <c r="E30" s="5">
        <v>35</v>
      </c>
      <c r="F30" s="6">
        <v>4.99</v>
      </c>
      <c r="G30" s="8">
        <v>174.65</v>
      </c>
    </row>
    <row r="31" spans="1:7" x14ac:dyDescent="0.35">
      <c r="A31" s="7" t="s">
        <v>18</v>
      </c>
      <c r="B31" s="4" t="s">
        <v>19</v>
      </c>
      <c r="C31" s="4" t="s">
        <v>20</v>
      </c>
      <c r="D31" s="4" t="s">
        <v>9</v>
      </c>
      <c r="E31" s="5">
        <v>56</v>
      </c>
      <c r="F31" s="6">
        <v>2.99</v>
      </c>
      <c r="G31" s="8">
        <v>167.44</v>
      </c>
    </row>
    <row r="32" spans="1:7" x14ac:dyDescent="0.35">
      <c r="A32" s="7" t="s">
        <v>47</v>
      </c>
      <c r="B32" s="4" t="s">
        <v>19</v>
      </c>
      <c r="C32" s="4" t="s">
        <v>20</v>
      </c>
      <c r="D32" s="4" t="s">
        <v>17</v>
      </c>
      <c r="E32" s="5">
        <v>76</v>
      </c>
      <c r="F32" s="6">
        <v>1.99</v>
      </c>
      <c r="G32" s="8">
        <v>151.24</v>
      </c>
    </row>
    <row r="33" spans="1:7" x14ac:dyDescent="0.35">
      <c r="A33" s="7" t="s">
        <v>21</v>
      </c>
      <c r="B33" s="4" t="s">
        <v>11</v>
      </c>
      <c r="C33" s="4" t="s">
        <v>22</v>
      </c>
      <c r="D33" s="4" t="s">
        <v>9</v>
      </c>
      <c r="E33" s="5">
        <v>75</v>
      </c>
      <c r="F33" s="6">
        <v>1.99</v>
      </c>
      <c r="G33" s="8">
        <v>149.25</v>
      </c>
    </row>
    <row r="34" spans="1:7" x14ac:dyDescent="0.35">
      <c r="A34" s="7">
        <v>45841</v>
      </c>
      <c r="B34" s="4" t="s">
        <v>19</v>
      </c>
      <c r="C34" s="4" t="s">
        <v>20</v>
      </c>
      <c r="D34" s="4" t="s">
        <v>13</v>
      </c>
      <c r="E34" s="5">
        <v>7</v>
      </c>
      <c r="F34" s="6">
        <v>19.989999999999998</v>
      </c>
      <c r="G34" s="8">
        <v>139.93</v>
      </c>
    </row>
    <row r="35" spans="1:7" x14ac:dyDescent="0.35">
      <c r="A35" s="7" t="s">
        <v>51</v>
      </c>
      <c r="B35" s="4" t="s">
        <v>11</v>
      </c>
      <c r="C35" s="4" t="s">
        <v>22</v>
      </c>
      <c r="D35" s="4" t="s">
        <v>13</v>
      </c>
      <c r="E35" s="5">
        <v>28</v>
      </c>
      <c r="F35" s="6">
        <v>4.99</v>
      </c>
      <c r="G35" s="8">
        <v>139.72</v>
      </c>
    </row>
    <row r="36" spans="1:7" x14ac:dyDescent="0.35">
      <c r="A36" s="7">
        <v>45934</v>
      </c>
      <c r="B36" s="4" t="s">
        <v>11</v>
      </c>
      <c r="C36" s="4" t="s">
        <v>22</v>
      </c>
      <c r="D36" s="4" t="s">
        <v>9</v>
      </c>
      <c r="E36" s="5">
        <v>66</v>
      </c>
      <c r="F36" s="6">
        <v>1.99</v>
      </c>
      <c r="G36" s="8">
        <v>131.34</v>
      </c>
    </row>
    <row r="37" spans="1:7" x14ac:dyDescent="0.35">
      <c r="A37" s="7">
        <v>45638</v>
      </c>
      <c r="B37" s="4" t="s">
        <v>11</v>
      </c>
      <c r="C37" s="4" t="s">
        <v>31</v>
      </c>
      <c r="D37" s="4" t="s">
        <v>9</v>
      </c>
      <c r="E37" s="5">
        <v>67</v>
      </c>
      <c r="F37" s="6">
        <v>1.29</v>
      </c>
      <c r="G37" s="8">
        <v>86.43</v>
      </c>
    </row>
    <row r="38" spans="1:7" x14ac:dyDescent="0.35">
      <c r="A38" s="7" t="s">
        <v>42</v>
      </c>
      <c r="B38" s="4" t="s">
        <v>11</v>
      </c>
      <c r="C38" s="4" t="s">
        <v>16</v>
      </c>
      <c r="D38" s="4" t="s">
        <v>9</v>
      </c>
      <c r="E38" s="5">
        <v>53</v>
      </c>
      <c r="F38" s="6">
        <v>1.29</v>
      </c>
      <c r="G38" s="8">
        <v>68.37</v>
      </c>
    </row>
    <row r="39" spans="1:7" x14ac:dyDescent="0.35">
      <c r="A39" s="7" t="s">
        <v>23</v>
      </c>
      <c r="B39" s="4" t="s">
        <v>19</v>
      </c>
      <c r="C39" s="4" t="s">
        <v>24</v>
      </c>
      <c r="D39" s="4" t="s">
        <v>9</v>
      </c>
      <c r="E39" s="5">
        <v>32</v>
      </c>
      <c r="F39" s="6">
        <v>1.99</v>
      </c>
      <c r="G39" s="8">
        <v>63.68</v>
      </c>
    </row>
    <row r="40" spans="1:7" x14ac:dyDescent="0.35">
      <c r="A40" s="7">
        <v>45633</v>
      </c>
      <c r="B40" s="4" t="s">
        <v>7</v>
      </c>
      <c r="C40" s="4" t="s">
        <v>27</v>
      </c>
      <c r="D40" s="4" t="s">
        <v>13</v>
      </c>
      <c r="E40" s="5">
        <v>29</v>
      </c>
      <c r="F40" s="6">
        <v>1.99</v>
      </c>
      <c r="G40" s="8">
        <v>57.71</v>
      </c>
    </row>
    <row r="41" spans="1:7" x14ac:dyDescent="0.35">
      <c r="A41" s="7" t="s">
        <v>50</v>
      </c>
      <c r="B41" s="4" t="s">
        <v>11</v>
      </c>
      <c r="C41" s="4" t="s">
        <v>14</v>
      </c>
      <c r="D41" s="4" t="s">
        <v>13</v>
      </c>
      <c r="E41" s="5">
        <v>11</v>
      </c>
      <c r="F41" s="6">
        <v>4.99</v>
      </c>
      <c r="G41" s="8">
        <v>54.89</v>
      </c>
    </row>
    <row r="42" spans="1:7" x14ac:dyDescent="0.35">
      <c r="A42" s="7" t="s">
        <v>39</v>
      </c>
      <c r="B42" s="4" t="s">
        <v>7</v>
      </c>
      <c r="C42" s="4" t="s">
        <v>8</v>
      </c>
      <c r="D42" s="4" t="s">
        <v>13</v>
      </c>
      <c r="E42" s="5">
        <v>4</v>
      </c>
      <c r="F42" s="6">
        <v>4.99</v>
      </c>
      <c r="G42" s="8">
        <v>19.96</v>
      </c>
    </row>
    <row r="43" spans="1:7" x14ac:dyDescent="0.35">
      <c r="A43" s="7" t="s">
        <v>49</v>
      </c>
      <c r="B43" s="4" t="s">
        <v>11</v>
      </c>
      <c r="C43" s="4" t="s">
        <v>22</v>
      </c>
      <c r="D43" s="4" t="s">
        <v>9</v>
      </c>
      <c r="E43" s="5">
        <v>14</v>
      </c>
      <c r="F43" s="6">
        <v>1.29</v>
      </c>
      <c r="G43" s="8">
        <v>18.059999999999999</v>
      </c>
    </row>
    <row r="44" spans="1:7" x14ac:dyDescent="0.35">
      <c r="A44" s="11">
        <v>45939</v>
      </c>
      <c r="B44" s="12" t="s">
        <v>11</v>
      </c>
      <c r="C44" s="12" t="s">
        <v>16</v>
      </c>
      <c r="D44" s="12" t="s">
        <v>9</v>
      </c>
      <c r="E44" s="13">
        <v>7</v>
      </c>
      <c r="F44" s="14">
        <v>1.29</v>
      </c>
      <c r="G44" s="15">
        <v>9.0299999999999994</v>
      </c>
    </row>
  </sheetData>
  <mergeCells count="3">
    <mergeCell ref="I2:K2"/>
    <mergeCell ref="I4:L4"/>
    <mergeCell ref="I5:M5"/>
  </mergeCells>
  <conditionalFormatting sqref="G2:G44">
    <cfRule type="top10" dxfId="13" priority="2" rank="10"/>
  </conditionalFormatting>
  <conditionalFormatting sqref="F2:F44">
    <cfRule type="cellIs" dxfId="12" priority="1" operator="greaterThan">
      <formula>10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0"/>
  <sheetViews>
    <sheetView workbookViewId="0">
      <selection activeCell="C24" sqref="C24"/>
    </sheetView>
  </sheetViews>
  <sheetFormatPr defaultRowHeight="14.5" x14ac:dyDescent="0.35"/>
  <cols>
    <col min="1" max="1" width="10.08984375" bestFit="1" customWidth="1"/>
  </cols>
  <sheetData>
    <row r="2" spans="1:3" x14ac:dyDescent="0.35">
      <c r="B2" s="19" t="s">
        <v>54</v>
      </c>
    </row>
    <row r="4" spans="1:3" x14ac:dyDescent="0.35">
      <c r="A4" s="16"/>
      <c r="B4" s="16"/>
    </row>
    <row r="7" spans="1:3" x14ac:dyDescent="0.35">
      <c r="A7" s="25" t="s">
        <v>55</v>
      </c>
      <c r="B7" s="18" t="s">
        <v>52</v>
      </c>
      <c r="C7" s="18" t="s">
        <v>53</v>
      </c>
    </row>
    <row r="8" spans="1:3" x14ac:dyDescent="0.35">
      <c r="A8" s="3">
        <v>45295</v>
      </c>
      <c r="B8" s="17">
        <f>VLOOKUP(A8,Table1[[OrderDate]:[Units]],5,FALSE)</f>
        <v>60</v>
      </c>
      <c r="C8" s="26">
        <f>VLOOKUP(A8,DATA!A2:G44,7,FALSE)</f>
        <v>299.39999999999998</v>
      </c>
    </row>
    <row r="9" spans="1:3" x14ac:dyDescent="0.35">
      <c r="A9" s="3">
        <v>45300</v>
      </c>
      <c r="B9" s="17">
        <f>VLOOKUP(A9,Table1[[OrderDate]:[Units]],5,FALSE)</f>
        <v>2</v>
      </c>
      <c r="C9" s="26">
        <f>VLOOKUP(A9,DATA!A3:G45,7,FALSE)</f>
        <v>250</v>
      </c>
    </row>
    <row r="10" spans="1:3" x14ac:dyDescent="0.35">
      <c r="A10" s="3">
        <v>45417</v>
      </c>
      <c r="B10" s="17">
        <f>VLOOKUP(A10,Table1[[OrderDate]:[Units]],5,FALSE)</f>
        <v>90</v>
      </c>
      <c r="C10" s="26">
        <f>VLOOKUP(A10,DATA!A4:G46,7,FALSE)</f>
        <v>449.1</v>
      </c>
    </row>
    <row r="11" spans="1:3" x14ac:dyDescent="0.35">
      <c r="A11" s="3">
        <v>45422</v>
      </c>
      <c r="B11" s="17">
        <f>VLOOKUP(A11,Table1[[OrderDate]:[Units]],5,FALSE)</f>
        <v>28</v>
      </c>
      <c r="C11" s="26">
        <f>VLOOKUP(A11,DATA!A5:G47,7,FALSE)</f>
        <v>251.72</v>
      </c>
    </row>
    <row r="12" spans="1:3" x14ac:dyDescent="0.35">
      <c r="A12" s="3">
        <v>45444</v>
      </c>
      <c r="B12" s="17">
        <f>VLOOKUP(A12,Table1[[OrderDate]:[Units]],5,FALSE)</f>
        <v>95</v>
      </c>
      <c r="C12" s="26">
        <f>VLOOKUP(A12,DATA!A6:G48,7,FALSE)</f>
        <v>189.05</v>
      </c>
    </row>
    <row r="13" spans="1:3" x14ac:dyDescent="0.35">
      <c r="A13" s="3">
        <v>45510</v>
      </c>
      <c r="B13" s="17">
        <f>VLOOKUP(A13,Table1[[OrderDate]:[Units]],5,FALSE)</f>
        <v>60</v>
      </c>
      <c r="C13" s="26">
        <f>VLOOKUP(A13,DATA!A7:G49,7,FALSE)</f>
        <v>539.4</v>
      </c>
    </row>
    <row r="14" spans="1:3" x14ac:dyDescent="0.35">
      <c r="A14" s="3">
        <v>45515</v>
      </c>
      <c r="B14" s="17">
        <f>VLOOKUP(A14,Table1[[OrderDate]:[Units]],5,FALSE)</f>
        <v>15</v>
      </c>
      <c r="C14" s="26">
        <f>VLOOKUP(A14,DATA!A8:G50,7,FALSE)</f>
        <v>299.85000000000002</v>
      </c>
    </row>
    <row r="15" spans="1:3" x14ac:dyDescent="0.35">
      <c r="A15" s="3">
        <v>45537</v>
      </c>
      <c r="B15" s="17">
        <f>VLOOKUP(A15,Table1[[OrderDate]:[Units]],5,FALSE)</f>
        <v>36</v>
      </c>
      <c r="C15" s="26">
        <f>VLOOKUP(A15,DATA!A9:G51,7,FALSE)</f>
        <v>179.64</v>
      </c>
    </row>
    <row r="16" spans="1:3" x14ac:dyDescent="0.35">
      <c r="A16" s="3">
        <v>45633</v>
      </c>
      <c r="B16" s="17">
        <f>VLOOKUP(A16,Table1[[OrderDate]:[Units]],5,FALSE)</f>
        <v>29</v>
      </c>
      <c r="C16" s="26">
        <f>VLOOKUP(A16,DATA!A10:G52,7,FALSE)</f>
        <v>57.71</v>
      </c>
    </row>
    <row r="17" spans="1:3" x14ac:dyDescent="0.35">
      <c r="A17" s="3">
        <v>45638</v>
      </c>
      <c r="B17" s="17">
        <f>VLOOKUP(A17,Table1[[OrderDate]:[Units]],5,FALSE)</f>
        <v>67</v>
      </c>
      <c r="C17" s="26">
        <f>VLOOKUP(A17,DATA!A11:G53,7,FALSE)</f>
        <v>86.43</v>
      </c>
    </row>
    <row r="18" spans="1:3" x14ac:dyDescent="0.35">
      <c r="A18" s="3">
        <v>45659</v>
      </c>
      <c r="B18" s="17">
        <f>VLOOKUP(A18,Table1[[OrderDate]:[Units]],5,FALSE)</f>
        <v>87</v>
      </c>
      <c r="C18" s="26">
        <f>VLOOKUP(A18,DATA!A12:G54,7,FALSE)</f>
        <v>1305</v>
      </c>
    </row>
    <row r="19" spans="1:3" x14ac:dyDescent="0.35">
      <c r="A19" s="3">
        <v>45754</v>
      </c>
      <c r="B19" s="17">
        <f>VLOOKUP(A19,Table1[[OrderDate]:[Units]],5,FALSE)</f>
        <v>62</v>
      </c>
      <c r="C19" s="26">
        <f>VLOOKUP(A19,DATA!A13:G55,7,FALSE)</f>
        <v>309.38</v>
      </c>
    </row>
    <row r="20" spans="1:3" x14ac:dyDescent="0.35">
      <c r="A20" s="3">
        <v>45759</v>
      </c>
      <c r="B20" s="17">
        <f>VLOOKUP(A20,Table1[[OrderDate]:[Units]],5,FALSE)</f>
        <v>94</v>
      </c>
      <c r="C20" s="26">
        <f>VLOOKUP(A20,DATA!A14:G56,7,FALSE)</f>
        <v>1879.06</v>
      </c>
    </row>
    <row r="21" spans="1:3" x14ac:dyDescent="0.35">
      <c r="A21" s="3">
        <v>45841</v>
      </c>
      <c r="B21" s="17">
        <f>VLOOKUP(A21,Table1[[OrderDate]:[Units]],5,FALSE)</f>
        <v>7</v>
      </c>
      <c r="C21" s="26">
        <f>VLOOKUP(A21,DATA!A15:G57,7,FALSE)</f>
        <v>139.93</v>
      </c>
    </row>
    <row r="22" spans="1:3" x14ac:dyDescent="0.35">
      <c r="A22" s="3">
        <v>45846</v>
      </c>
      <c r="B22" s="17">
        <f>VLOOKUP(A22,Table1[[OrderDate]:[Units]],5,FALSE)</f>
        <v>42</v>
      </c>
      <c r="C22" s="26">
        <f>VLOOKUP(A22,DATA!A16:G58,7,FALSE)</f>
        <v>1005.9</v>
      </c>
    </row>
    <row r="23" spans="1:3" x14ac:dyDescent="0.35">
      <c r="A23" s="3">
        <v>45934</v>
      </c>
      <c r="B23" s="17">
        <f>VLOOKUP(A23,Table1[[OrderDate]:[Units]],5,FALSE)</f>
        <v>66</v>
      </c>
      <c r="C23" s="26">
        <f>VLOOKUP(A23,DATA!A17:G59,7,FALSE)</f>
        <v>131.34</v>
      </c>
    </row>
    <row r="24" spans="1:3" x14ac:dyDescent="0.35">
      <c r="A24" s="3">
        <v>45939</v>
      </c>
      <c r="B24" s="17">
        <f>VLOOKUP(A24,Table1[[OrderDate]:[Units]],5,FALSE)</f>
        <v>7</v>
      </c>
      <c r="C24" s="26">
        <f>VLOOKUP(A24,DATA!A18:G60,7,FALSE)</f>
        <v>9.0299999999999994</v>
      </c>
    </row>
    <row r="25" spans="1:3" x14ac:dyDescent="0.35">
      <c r="A25" s="3" t="s">
        <v>38</v>
      </c>
      <c r="B25" s="17">
        <f>VLOOKUP(A25,Table1[[OrderDate]:[Units]],5,FALSE)</f>
        <v>46</v>
      </c>
      <c r="C25" s="26">
        <f>VLOOKUP(A25,DATA!A19:G61,7,FALSE)</f>
        <v>413.54</v>
      </c>
    </row>
    <row r="26" spans="1:3" x14ac:dyDescent="0.35">
      <c r="A26" s="3" t="s">
        <v>10</v>
      </c>
      <c r="B26" s="17">
        <f>VLOOKUP(A26,Table1[[OrderDate]:[Units]],5,FALSE)</f>
        <v>50</v>
      </c>
      <c r="C26" s="26">
        <f>VLOOKUP(A26,DATA!A20:G62,7,FALSE)</f>
        <v>999.5</v>
      </c>
    </row>
    <row r="27" spans="1:3" ht="29" x14ac:dyDescent="0.35">
      <c r="A27" s="3" t="s">
        <v>48</v>
      </c>
      <c r="B27" s="17">
        <f>VLOOKUP(A27,Table1[[OrderDate]:[Units]],5,FALSE)</f>
        <v>57</v>
      </c>
      <c r="C27" s="26">
        <f>VLOOKUP(A27,DATA!A21:G63,7,FALSE)</f>
        <v>1139.43</v>
      </c>
    </row>
    <row r="28" spans="1:3" ht="29" x14ac:dyDescent="0.35">
      <c r="A28" s="3" t="s">
        <v>35</v>
      </c>
      <c r="B28" s="17">
        <f>VLOOKUP(A28,Table1[[OrderDate]:[Units]],5,FALSE)</f>
        <v>64</v>
      </c>
      <c r="C28" s="26">
        <f>VLOOKUP(A28,DATA!A22:G64,7,FALSE)</f>
        <v>575.36</v>
      </c>
    </row>
    <row r="29" spans="1:3" ht="29" x14ac:dyDescent="0.35">
      <c r="A29" s="3" t="s">
        <v>49</v>
      </c>
      <c r="B29" s="17">
        <f>VLOOKUP(A29,Table1[[OrderDate]:[Units]],5,FALSE)</f>
        <v>14</v>
      </c>
      <c r="C29" s="26">
        <f>VLOOKUP(A29,DATA!A23:G65,7,FALSE)</f>
        <v>18.059999999999999</v>
      </c>
    </row>
    <row r="30" spans="1:3" ht="29" x14ac:dyDescent="0.35">
      <c r="A30" s="3" t="s">
        <v>50</v>
      </c>
      <c r="B30" s="17">
        <f>VLOOKUP(A30,Table1[[OrderDate]:[Units]],5,FALSE)</f>
        <v>11</v>
      </c>
      <c r="C30" s="26">
        <f>VLOOKUP(A30,DATA!A24:G66,7,FALSE)</f>
        <v>54.89</v>
      </c>
    </row>
    <row r="31" spans="1:3" ht="29" x14ac:dyDescent="0.35">
      <c r="A31" s="3" t="s">
        <v>36</v>
      </c>
      <c r="B31" s="17">
        <f>VLOOKUP(A31,Table1[[OrderDate]:[Units]],5,FALSE)</f>
        <v>96</v>
      </c>
      <c r="C31" s="26">
        <f>VLOOKUP(A31,DATA!A25:G67,7,FALSE)</f>
        <v>479.04</v>
      </c>
    </row>
    <row r="32" spans="1:3" ht="29" x14ac:dyDescent="0.35">
      <c r="A32" s="3" t="s">
        <v>51</v>
      </c>
      <c r="B32" s="17">
        <f>VLOOKUP(A32,Table1[[OrderDate]:[Units]],5,FALSE)</f>
        <v>28</v>
      </c>
      <c r="C32" s="26">
        <f>VLOOKUP(A32,DATA!A26:G68,7,FALSE)</f>
        <v>139.72</v>
      </c>
    </row>
    <row r="33" spans="1:3" ht="29" x14ac:dyDescent="0.35">
      <c r="A33" s="3" t="s">
        <v>37</v>
      </c>
      <c r="B33" s="17">
        <f>VLOOKUP(A33,Table1[[OrderDate]:[Units]],5,FALSE)</f>
        <v>74</v>
      </c>
      <c r="C33" s="26">
        <f>VLOOKUP(A33,DATA!A27:G69,7,FALSE)</f>
        <v>1183.26</v>
      </c>
    </row>
    <row r="34" spans="1:3" x14ac:dyDescent="0.35">
      <c r="A34" s="3" t="s">
        <v>39</v>
      </c>
      <c r="B34" s="17">
        <f>VLOOKUP(A34,Table1[[OrderDate]:[Units]],5,FALSE)</f>
        <v>4</v>
      </c>
      <c r="C34" s="26">
        <f>VLOOKUP(A34,DATA!A28:G70,7,FALSE)</f>
        <v>19.96</v>
      </c>
    </row>
    <row r="35" spans="1:3" x14ac:dyDescent="0.35">
      <c r="A35" s="3" t="s">
        <v>15</v>
      </c>
      <c r="B35" s="17">
        <f>VLOOKUP(A35,Table1[[OrderDate]:[Units]],5,FALSE)</f>
        <v>27</v>
      </c>
      <c r="C35" s="26">
        <f>VLOOKUP(A35,DATA!A29:G71,7,FALSE)</f>
        <v>539.73</v>
      </c>
    </row>
    <row r="36" spans="1:3" x14ac:dyDescent="0.35">
      <c r="A36" s="3" t="s">
        <v>18</v>
      </c>
      <c r="B36" s="17">
        <f>VLOOKUP(A36,Table1[[OrderDate]:[Units]],5,FALSE)</f>
        <v>56</v>
      </c>
      <c r="C36" s="26">
        <f>VLOOKUP(A36,DATA!A30:G72,7,FALSE)</f>
        <v>167.44</v>
      </c>
    </row>
    <row r="37" spans="1:3" x14ac:dyDescent="0.35">
      <c r="A37" s="3" t="s">
        <v>40</v>
      </c>
      <c r="B37" s="17">
        <f>VLOOKUP(A37,Table1[[OrderDate]:[Units]],5,FALSE)</f>
        <v>50</v>
      </c>
      <c r="C37" s="26">
        <f>VLOOKUP(A37,DATA!A31:G73,7,FALSE)</f>
        <v>249.5</v>
      </c>
    </row>
    <row r="38" spans="1:3" x14ac:dyDescent="0.35">
      <c r="A38" s="3" t="s">
        <v>21</v>
      </c>
      <c r="B38" s="17">
        <f>VLOOKUP(A38,Table1[[OrderDate]:[Units]],5,FALSE)</f>
        <v>75</v>
      </c>
      <c r="C38" s="26">
        <f>VLOOKUP(A38,DATA!A32:G74,7,FALSE)</f>
        <v>149.25</v>
      </c>
    </row>
    <row r="39" spans="1:3" x14ac:dyDescent="0.35">
      <c r="A39" s="3" t="s">
        <v>41</v>
      </c>
      <c r="B39" s="17">
        <f>VLOOKUP(A39,Table1[[OrderDate]:[Units]],5,FALSE)</f>
        <v>96</v>
      </c>
      <c r="C39" s="26">
        <f>VLOOKUP(A39,DATA!A33:G75,7,FALSE)</f>
        <v>479.04</v>
      </c>
    </row>
    <row r="40" spans="1:3" x14ac:dyDescent="0.35">
      <c r="A40" s="3" t="s">
        <v>42</v>
      </c>
      <c r="B40" s="17">
        <f>VLOOKUP(A40,Table1[[OrderDate]:[Units]],5,FALSE)</f>
        <v>53</v>
      </c>
      <c r="C40" s="26">
        <f>VLOOKUP(A40,DATA!A34:G76,7,FALSE)</f>
        <v>68.37</v>
      </c>
    </row>
    <row r="41" spans="1:3" x14ac:dyDescent="0.35">
      <c r="A41" s="3" t="s">
        <v>23</v>
      </c>
      <c r="B41" s="17">
        <f>VLOOKUP(A41,Table1[[OrderDate]:[Units]],5,FALSE)</f>
        <v>32</v>
      </c>
      <c r="C41" s="26">
        <f>VLOOKUP(A41,DATA!A35:G77,7,FALSE)</f>
        <v>63.68</v>
      </c>
    </row>
    <row r="42" spans="1:3" x14ac:dyDescent="0.35">
      <c r="A42" s="3" t="s">
        <v>43</v>
      </c>
      <c r="B42" s="17">
        <f>VLOOKUP(A42,Table1[[OrderDate]:[Units]],5,FALSE)</f>
        <v>80</v>
      </c>
      <c r="C42" s="26">
        <f>VLOOKUP(A42,DATA!A36:G78,7,FALSE)</f>
        <v>719.2</v>
      </c>
    </row>
    <row r="43" spans="1:3" x14ac:dyDescent="0.35">
      <c r="A43" s="3" t="s">
        <v>44</v>
      </c>
      <c r="B43" s="17">
        <f>VLOOKUP(A43,Table1[[OrderDate]:[Units]],5,FALSE)</f>
        <v>5</v>
      </c>
      <c r="C43" s="26">
        <f>VLOOKUP(A43,DATA!A37:G79,7,FALSE)</f>
        <v>625</v>
      </c>
    </row>
    <row r="44" spans="1:3" x14ac:dyDescent="0.35">
      <c r="A44" s="3" t="s">
        <v>25</v>
      </c>
      <c r="B44" s="17">
        <f>VLOOKUP(A44,Table1[[OrderDate]:[Units]],5,FALSE)</f>
        <v>90</v>
      </c>
      <c r="C44" s="26">
        <f>VLOOKUP(A44,DATA!A38:G80,7,FALSE)</f>
        <v>449.1</v>
      </c>
    </row>
    <row r="45" spans="1:3" x14ac:dyDescent="0.35">
      <c r="A45" s="3" t="s">
        <v>45</v>
      </c>
      <c r="B45" s="17">
        <f>VLOOKUP(A45,Table1[[OrderDate]:[Units]],5,FALSE)</f>
        <v>55</v>
      </c>
      <c r="C45" s="26">
        <f>VLOOKUP(A45,DATA!A39:G81,7,FALSE)</f>
        <v>686.95</v>
      </c>
    </row>
    <row r="46" spans="1:3" x14ac:dyDescent="0.35">
      <c r="A46" s="3" t="s">
        <v>28</v>
      </c>
      <c r="B46" s="17">
        <f>VLOOKUP(A46,Table1[[OrderDate]:[Units]],5,FALSE)</f>
        <v>81</v>
      </c>
      <c r="C46" s="26">
        <f>VLOOKUP(A46,DATA!A40:G82,7,FALSE)</f>
        <v>1619.19</v>
      </c>
    </row>
    <row r="47" spans="1:3" x14ac:dyDescent="0.35">
      <c r="A47" s="3" t="s">
        <v>30</v>
      </c>
      <c r="B47" s="17">
        <f>VLOOKUP(A47,Table1[[OrderDate]:[Units]],5,FALSE)</f>
        <v>35</v>
      </c>
      <c r="C47" s="26">
        <f>VLOOKUP(A47,DATA!A41:G83,7,FALSE)</f>
        <v>174.65</v>
      </c>
    </row>
    <row r="48" spans="1:3" x14ac:dyDescent="0.35">
      <c r="A48" s="3" t="s">
        <v>46</v>
      </c>
      <c r="B48" s="17">
        <f>VLOOKUP(A48,Table1[[OrderDate]:[Units]],5,FALSE)</f>
        <v>3</v>
      </c>
      <c r="C48" s="26">
        <f>VLOOKUP(A48,DATA!A42:G84,7,FALSE)</f>
        <v>825</v>
      </c>
    </row>
    <row r="49" spans="1:3" x14ac:dyDescent="0.35">
      <c r="A49" s="3" t="s">
        <v>33</v>
      </c>
      <c r="B49" s="17">
        <f>VLOOKUP(A49,Table1[[OrderDate]:[Units]],5,FALSE)</f>
        <v>16</v>
      </c>
      <c r="C49" s="26">
        <f>VLOOKUP(A49,DATA!A43:G85,7,FALSE)</f>
        <v>255.84</v>
      </c>
    </row>
    <row r="50" spans="1:3" x14ac:dyDescent="0.35">
      <c r="A50" s="3" t="s">
        <v>47</v>
      </c>
      <c r="B50" s="17">
        <f>VLOOKUP(A50,Table1[[OrderDate]:[Units]],5,FALSE)</f>
        <v>76</v>
      </c>
      <c r="C50" s="26">
        <f>VLOOKUP(A50,DATA!A44:G86,7,FALSE)</f>
        <v>151.24</v>
      </c>
    </row>
  </sheetData>
  <sortState ref="A8:B50">
    <sortCondition ref="A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11"/>
  <sheetViews>
    <sheetView workbookViewId="0">
      <selection activeCell="C22" sqref="C22"/>
    </sheetView>
  </sheetViews>
  <sheetFormatPr defaultRowHeight="14.5" x14ac:dyDescent="0.35"/>
  <cols>
    <col min="2" max="18" width="10.08984375" bestFit="1" customWidth="1"/>
  </cols>
  <sheetData>
    <row r="2" spans="1:44" x14ac:dyDescent="0.35">
      <c r="D2" s="31" t="s">
        <v>59</v>
      </c>
    </row>
    <row r="4" spans="1:44" ht="29" x14ac:dyDescent="0.35">
      <c r="A4" s="33" t="s">
        <v>60</v>
      </c>
      <c r="B4" s="21">
        <v>45295</v>
      </c>
      <c r="C4" s="21">
        <v>45300</v>
      </c>
      <c r="D4" s="21">
        <v>45417</v>
      </c>
      <c r="E4" s="21">
        <v>45422</v>
      </c>
      <c r="F4" s="21">
        <v>45444</v>
      </c>
      <c r="G4" s="21">
        <v>45510</v>
      </c>
      <c r="H4" s="21">
        <v>45515</v>
      </c>
      <c r="I4" s="21">
        <v>45537</v>
      </c>
      <c r="J4" s="21">
        <v>45633</v>
      </c>
      <c r="K4" s="21">
        <v>45638</v>
      </c>
      <c r="L4" s="21">
        <v>45659</v>
      </c>
      <c r="M4" s="21">
        <v>45754</v>
      </c>
      <c r="N4" s="21">
        <v>45759</v>
      </c>
      <c r="O4" s="21">
        <v>45841</v>
      </c>
      <c r="P4" s="21">
        <v>45846</v>
      </c>
      <c r="Q4" s="21">
        <v>45934</v>
      </c>
      <c r="R4" s="21">
        <v>45939</v>
      </c>
      <c r="S4" s="21" t="s">
        <v>38</v>
      </c>
      <c r="T4" s="21" t="s">
        <v>10</v>
      </c>
      <c r="U4" s="21" t="s">
        <v>48</v>
      </c>
      <c r="V4" s="21" t="s">
        <v>35</v>
      </c>
      <c r="W4" s="21" t="s">
        <v>49</v>
      </c>
      <c r="X4" s="21" t="s">
        <v>50</v>
      </c>
      <c r="Y4" s="21" t="s">
        <v>36</v>
      </c>
      <c r="Z4" s="21" t="s">
        <v>51</v>
      </c>
      <c r="AA4" s="21" t="s">
        <v>37</v>
      </c>
      <c r="AB4" s="21" t="s">
        <v>39</v>
      </c>
      <c r="AC4" s="21" t="s">
        <v>15</v>
      </c>
      <c r="AD4" s="21" t="s">
        <v>18</v>
      </c>
      <c r="AE4" s="21" t="s">
        <v>40</v>
      </c>
      <c r="AF4" s="21" t="s">
        <v>21</v>
      </c>
      <c r="AG4" s="21" t="s">
        <v>41</v>
      </c>
      <c r="AH4" s="21" t="s">
        <v>42</v>
      </c>
      <c r="AI4" s="21" t="s">
        <v>23</v>
      </c>
      <c r="AJ4" s="21" t="s">
        <v>43</v>
      </c>
      <c r="AK4" s="21" t="s">
        <v>44</v>
      </c>
      <c r="AL4" s="21" t="s">
        <v>25</v>
      </c>
      <c r="AM4" s="21" t="s">
        <v>45</v>
      </c>
      <c r="AN4" s="21" t="s">
        <v>28</v>
      </c>
      <c r="AO4" s="21" t="s">
        <v>30</v>
      </c>
      <c r="AP4" s="21" t="s">
        <v>46</v>
      </c>
      <c r="AQ4" s="21" t="s">
        <v>33</v>
      </c>
      <c r="AR4" s="21" t="s">
        <v>47</v>
      </c>
    </row>
    <row r="5" spans="1:44" x14ac:dyDescent="0.35">
      <c r="A5" s="33" t="s">
        <v>61</v>
      </c>
      <c r="B5" s="23">
        <v>60</v>
      </c>
      <c r="C5" s="23">
        <v>2</v>
      </c>
      <c r="D5" s="23">
        <v>90</v>
      </c>
      <c r="E5" s="23">
        <v>28</v>
      </c>
      <c r="F5" s="23">
        <v>95</v>
      </c>
      <c r="G5" s="23">
        <v>60</v>
      </c>
      <c r="H5" s="23">
        <v>15</v>
      </c>
      <c r="I5" s="23">
        <v>36</v>
      </c>
      <c r="J5" s="23">
        <v>29</v>
      </c>
      <c r="K5" s="23">
        <v>67</v>
      </c>
      <c r="L5" s="23">
        <v>87</v>
      </c>
      <c r="M5" s="23">
        <v>62</v>
      </c>
      <c r="N5" s="23">
        <v>94</v>
      </c>
      <c r="O5" s="23">
        <v>7</v>
      </c>
      <c r="P5" s="23">
        <v>42</v>
      </c>
      <c r="Q5" s="23">
        <v>66</v>
      </c>
      <c r="R5" s="23">
        <v>7</v>
      </c>
      <c r="S5" s="23">
        <v>46</v>
      </c>
      <c r="T5" s="23">
        <v>50</v>
      </c>
      <c r="U5" s="23">
        <v>57</v>
      </c>
      <c r="V5" s="23">
        <v>64</v>
      </c>
      <c r="W5" s="23">
        <v>14</v>
      </c>
      <c r="X5" s="23">
        <v>11</v>
      </c>
      <c r="Y5" s="23">
        <v>96</v>
      </c>
      <c r="Z5" s="23">
        <v>28</v>
      </c>
      <c r="AA5" s="23">
        <v>74</v>
      </c>
      <c r="AB5" s="23">
        <v>4</v>
      </c>
      <c r="AC5" s="23">
        <v>27</v>
      </c>
      <c r="AD5" s="23">
        <v>56</v>
      </c>
      <c r="AE5" s="23">
        <v>50</v>
      </c>
      <c r="AF5" s="23">
        <v>75</v>
      </c>
      <c r="AG5" s="23">
        <v>96</v>
      </c>
      <c r="AH5" s="23">
        <v>53</v>
      </c>
      <c r="AI5" s="23">
        <v>32</v>
      </c>
      <c r="AJ5" s="23">
        <v>80</v>
      </c>
      <c r="AK5" s="23">
        <v>5</v>
      </c>
      <c r="AL5" s="23">
        <v>90</v>
      </c>
      <c r="AM5" s="23">
        <v>55</v>
      </c>
      <c r="AN5" s="23">
        <v>81</v>
      </c>
      <c r="AO5" s="23">
        <v>35</v>
      </c>
      <c r="AP5" s="23">
        <v>3</v>
      </c>
      <c r="AQ5" s="23">
        <v>16</v>
      </c>
      <c r="AR5" s="23">
        <v>76</v>
      </c>
    </row>
    <row r="6" spans="1:44" x14ac:dyDescent="0.35">
      <c r="A6" s="34" t="s">
        <v>62</v>
      </c>
      <c r="B6" s="32">
        <v>299.39999999999998</v>
      </c>
      <c r="C6" s="32">
        <v>250</v>
      </c>
      <c r="D6" s="32">
        <v>449.1</v>
      </c>
      <c r="E6" s="32">
        <v>251.72</v>
      </c>
      <c r="F6" s="32">
        <v>189.05</v>
      </c>
      <c r="G6" s="32">
        <v>539.4</v>
      </c>
      <c r="H6" s="32">
        <v>299.85000000000002</v>
      </c>
      <c r="I6" s="32">
        <v>179.64</v>
      </c>
      <c r="J6" s="32">
        <v>57.71</v>
      </c>
      <c r="K6" s="32">
        <v>86.43</v>
      </c>
      <c r="L6" s="32">
        <v>1305</v>
      </c>
      <c r="M6" s="32">
        <v>309.38</v>
      </c>
      <c r="N6" s="32">
        <v>1879.06</v>
      </c>
      <c r="O6" s="32">
        <v>139.93</v>
      </c>
      <c r="P6" s="32">
        <v>1005.9</v>
      </c>
      <c r="Q6" s="32">
        <v>131.34</v>
      </c>
      <c r="R6" s="32">
        <v>9.0299999999999994</v>
      </c>
      <c r="S6" s="32">
        <v>413.54</v>
      </c>
      <c r="T6" s="32">
        <v>999.5</v>
      </c>
      <c r="U6" s="32">
        <v>1139.43</v>
      </c>
      <c r="V6" s="32">
        <v>575.36</v>
      </c>
      <c r="W6" s="32">
        <v>18.059999999999999</v>
      </c>
      <c r="X6" s="32">
        <v>54.89</v>
      </c>
      <c r="Y6" s="32">
        <v>479.04</v>
      </c>
      <c r="Z6" s="32">
        <v>139.72</v>
      </c>
      <c r="AA6" s="32">
        <v>1183.26</v>
      </c>
      <c r="AB6" s="32">
        <v>19.96</v>
      </c>
      <c r="AC6" s="32">
        <v>539.73</v>
      </c>
      <c r="AD6" s="32">
        <v>167.44</v>
      </c>
      <c r="AE6" s="32">
        <v>249.5</v>
      </c>
      <c r="AF6" s="32">
        <v>149.25</v>
      </c>
      <c r="AG6" s="32">
        <v>479.04</v>
      </c>
      <c r="AH6" s="32">
        <v>68.37</v>
      </c>
      <c r="AI6" s="32">
        <v>63.68</v>
      </c>
      <c r="AJ6" s="32">
        <v>719.2</v>
      </c>
      <c r="AK6" s="32">
        <v>625</v>
      </c>
      <c r="AL6" s="32">
        <v>449.1</v>
      </c>
      <c r="AM6" s="32">
        <v>686.95</v>
      </c>
      <c r="AN6" s="32">
        <v>1619.19</v>
      </c>
      <c r="AO6" s="32">
        <v>174.65</v>
      </c>
      <c r="AP6" s="32">
        <v>825</v>
      </c>
      <c r="AQ6" s="32">
        <v>255.84</v>
      </c>
      <c r="AR6" s="32">
        <v>151.24</v>
      </c>
    </row>
    <row r="10" spans="1:44" ht="29" x14ac:dyDescent="0.35">
      <c r="A10" s="33" t="s">
        <v>60</v>
      </c>
      <c r="B10" s="21">
        <v>45295</v>
      </c>
      <c r="C10" s="21">
        <v>45300</v>
      </c>
      <c r="D10" s="21">
        <v>45417</v>
      </c>
      <c r="E10" s="21">
        <v>45422</v>
      </c>
      <c r="F10" s="21">
        <v>45444</v>
      </c>
      <c r="G10" s="21">
        <v>45510</v>
      </c>
      <c r="H10" s="21">
        <v>45515</v>
      </c>
      <c r="I10" s="21">
        <v>45537</v>
      </c>
      <c r="J10" s="21">
        <v>45633</v>
      </c>
      <c r="K10" s="21">
        <v>45638</v>
      </c>
      <c r="L10" s="21">
        <v>45659</v>
      </c>
      <c r="M10" s="21">
        <v>45754</v>
      </c>
      <c r="N10" s="21">
        <v>45759</v>
      </c>
      <c r="O10" s="21">
        <v>45841</v>
      </c>
      <c r="P10" s="21">
        <v>45846</v>
      </c>
      <c r="Q10" s="21">
        <v>45934</v>
      </c>
      <c r="R10" s="21">
        <v>45939</v>
      </c>
      <c r="S10" s="21" t="s">
        <v>38</v>
      </c>
      <c r="T10" s="21" t="s">
        <v>10</v>
      </c>
      <c r="U10" s="21" t="s">
        <v>48</v>
      </c>
      <c r="V10" s="21" t="s">
        <v>35</v>
      </c>
      <c r="W10" s="21" t="s">
        <v>49</v>
      </c>
      <c r="X10" s="21" t="s">
        <v>50</v>
      </c>
      <c r="Y10" s="21" t="s">
        <v>36</v>
      </c>
      <c r="Z10" s="21" t="s">
        <v>51</v>
      </c>
      <c r="AA10" s="21" t="s">
        <v>37</v>
      </c>
      <c r="AB10" s="21" t="s">
        <v>39</v>
      </c>
      <c r="AC10" s="21" t="s">
        <v>15</v>
      </c>
      <c r="AD10" s="21" t="s">
        <v>18</v>
      </c>
      <c r="AE10" s="21" t="s">
        <v>40</v>
      </c>
      <c r="AF10" s="21" t="s">
        <v>21</v>
      </c>
      <c r="AG10" s="21" t="s">
        <v>41</v>
      </c>
      <c r="AH10" s="21" t="s">
        <v>42</v>
      </c>
      <c r="AI10" s="21" t="s">
        <v>23</v>
      </c>
      <c r="AJ10" s="21" t="s">
        <v>43</v>
      </c>
      <c r="AK10" s="21" t="s">
        <v>44</v>
      </c>
      <c r="AL10" s="21" t="s">
        <v>25</v>
      </c>
      <c r="AM10" s="21" t="s">
        <v>45</v>
      </c>
      <c r="AN10" s="21" t="s">
        <v>28</v>
      </c>
      <c r="AO10" s="21" t="s">
        <v>30</v>
      </c>
      <c r="AP10" s="21" t="s">
        <v>46</v>
      </c>
      <c r="AQ10" s="21" t="s">
        <v>33</v>
      </c>
      <c r="AR10" s="21" t="s">
        <v>47</v>
      </c>
    </row>
    <row r="11" spans="1:44" x14ac:dyDescent="0.35">
      <c r="A11" s="34" t="s">
        <v>63</v>
      </c>
      <c r="B11" s="35">
        <f>HLOOKUP(B10,B4:AR6,3)</f>
        <v>299.39999999999998</v>
      </c>
      <c r="C11" s="35">
        <f t="shared" ref="C11:AR11" si="0">HLOOKUP(C10,C4:AS6,3)</f>
        <v>250</v>
      </c>
      <c r="D11" s="35">
        <f t="shared" si="0"/>
        <v>449.1</v>
      </c>
      <c r="E11" s="35">
        <f t="shared" si="0"/>
        <v>251.72</v>
      </c>
      <c r="F11" s="35">
        <f t="shared" si="0"/>
        <v>189.05</v>
      </c>
      <c r="G11" s="35">
        <f t="shared" si="0"/>
        <v>539.4</v>
      </c>
      <c r="H11" s="35">
        <f t="shared" si="0"/>
        <v>299.85000000000002</v>
      </c>
      <c r="I11" s="35">
        <f t="shared" si="0"/>
        <v>179.64</v>
      </c>
      <c r="J11" s="35">
        <f t="shared" si="0"/>
        <v>57.71</v>
      </c>
      <c r="K11" s="35">
        <f t="shared" si="0"/>
        <v>86.43</v>
      </c>
      <c r="L11" s="35">
        <f t="shared" si="0"/>
        <v>1305</v>
      </c>
      <c r="M11" s="35">
        <f t="shared" si="0"/>
        <v>309.38</v>
      </c>
      <c r="N11" s="35">
        <f t="shared" si="0"/>
        <v>1879.06</v>
      </c>
      <c r="O11" s="35">
        <f t="shared" si="0"/>
        <v>139.93</v>
      </c>
      <c r="P11" s="35">
        <f t="shared" si="0"/>
        <v>1005.9</v>
      </c>
      <c r="Q11" s="35">
        <f t="shared" si="0"/>
        <v>131.34</v>
      </c>
      <c r="R11" s="35">
        <f t="shared" si="0"/>
        <v>9.0299999999999994</v>
      </c>
      <c r="S11" s="35">
        <f t="shared" si="0"/>
        <v>413.54</v>
      </c>
      <c r="T11" s="35">
        <f t="shared" si="0"/>
        <v>999.5</v>
      </c>
      <c r="U11" s="35">
        <f t="shared" si="0"/>
        <v>1139.43</v>
      </c>
      <c r="V11" s="35">
        <f t="shared" si="0"/>
        <v>575.36</v>
      </c>
      <c r="W11" s="35">
        <f t="shared" si="0"/>
        <v>18.059999999999999</v>
      </c>
      <c r="X11" s="35">
        <f t="shared" si="0"/>
        <v>54.89</v>
      </c>
      <c r="Y11" s="35">
        <f t="shared" si="0"/>
        <v>479.04</v>
      </c>
      <c r="Z11" s="35">
        <f t="shared" si="0"/>
        <v>139.72</v>
      </c>
      <c r="AA11" s="35">
        <f t="shared" si="0"/>
        <v>1183.26</v>
      </c>
      <c r="AB11" s="35">
        <f t="shared" si="0"/>
        <v>19.96</v>
      </c>
      <c r="AC11" s="35">
        <f t="shared" si="0"/>
        <v>539.73</v>
      </c>
      <c r="AD11" s="35">
        <f t="shared" si="0"/>
        <v>167.44</v>
      </c>
      <c r="AE11" s="35">
        <f t="shared" si="0"/>
        <v>249.5</v>
      </c>
      <c r="AF11" s="35">
        <f t="shared" si="0"/>
        <v>149.25</v>
      </c>
      <c r="AG11" s="35">
        <f t="shared" si="0"/>
        <v>479.04</v>
      </c>
      <c r="AH11" s="35">
        <f t="shared" si="0"/>
        <v>68.37</v>
      </c>
      <c r="AI11" s="35">
        <f t="shared" si="0"/>
        <v>63.68</v>
      </c>
      <c r="AJ11" s="35">
        <f t="shared" si="0"/>
        <v>719.2</v>
      </c>
      <c r="AK11" s="35">
        <f t="shared" si="0"/>
        <v>625</v>
      </c>
      <c r="AL11" s="35">
        <f t="shared" si="0"/>
        <v>449.1</v>
      </c>
      <c r="AM11" s="35">
        <f t="shared" si="0"/>
        <v>686.95</v>
      </c>
      <c r="AN11" s="35">
        <f t="shared" si="0"/>
        <v>1619.19</v>
      </c>
      <c r="AO11" s="35">
        <f t="shared" si="0"/>
        <v>174.65</v>
      </c>
      <c r="AP11" s="35">
        <f t="shared" si="0"/>
        <v>825</v>
      </c>
      <c r="AQ11" s="35">
        <f t="shared" si="0"/>
        <v>255.84</v>
      </c>
      <c r="AR11" s="35">
        <f t="shared" si="0"/>
        <v>151.24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2:G10"/>
  <sheetViews>
    <sheetView topLeftCell="A3" workbookViewId="0">
      <selection activeCell="J20" sqref="J20"/>
    </sheetView>
  </sheetViews>
  <sheetFormatPr defaultRowHeight="14.5" x14ac:dyDescent="0.35"/>
  <cols>
    <col min="1" max="1" width="11.36328125" customWidth="1"/>
    <col min="2" max="2" width="7.81640625" customWidth="1"/>
    <col min="3" max="3" width="4.90625" customWidth="1"/>
    <col min="4" max="6" width="7.81640625" customWidth="1"/>
    <col min="7" max="7" width="10.7265625" bestFit="1" customWidth="1"/>
  </cols>
  <sheetData>
    <row r="2" spans="1:7" x14ac:dyDescent="0.35">
      <c r="B2" s="36" t="s">
        <v>58</v>
      </c>
      <c r="C2" s="37"/>
      <c r="D2" s="37"/>
      <c r="E2" s="37"/>
    </row>
    <row r="3" spans="1:7" x14ac:dyDescent="0.35">
      <c r="A3" s="27" t="s">
        <v>57</v>
      </c>
      <c r="B3" s="17"/>
      <c r="C3" s="17"/>
      <c r="D3" s="17"/>
      <c r="E3" s="17"/>
      <c r="F3" s="17"/>
      <c r="G3" s="17"/>
    </row>
    <row r="4" spans="1:7" x14ac:dyDescent="0.35">
      <c r="A4" s="17"/>
      <c r="B4" s="17" t="s">
        <v>13</v>
      </c>
      <c r="C4" s="17" t="s">
        <v>32</v>
      </c>
      <c r="D4" s="17" t="s">
        <v>17</v>
      </c>
      <c r="E4" s="17" t="s">
        <v>34</v>
      </c>
      <c r="F4" s="17" t="s">
        <v>9</v>
      </c>
      <c r="G4" s="17" t="s">
        <v>56</v>
      </c>
    </row>
    <row r="5" spans="1:7" x14ac:dyDescent="0.35">
      <c r="A5" s="28" t="s">
        <v>11</v>
      </c>
      <c r="B5" s="29">
        <v>5762.63</v>
      </c>
      <c r="C5" s="29">
        <v>875</v>
      </c>
      <c r="D5" s="29">
        <v>539.73</v>
      </c>
      <c r="E5" s="29">
        <v>2421.3900000000003</v>
      </c>
      <c r="F5" s="29">
        <v>1540.3200000000002</v>
      </c>
      <c r="G5" s="29">
        <v>11139.07</v>
      </c>
    </row>
    <row r="6" spans="1:7" x14ac:dyDescent="0.35">
      <c r="A6" s="28" t="s">
        <v>7</v>
      </c>
      <c r="B6" s="29">
        <v>2535.66</v>
      </c>
      <c r="C6" s="29"/>
      <c r="D6" s="29">
        <v>1354.25</v>
      </c>
      <c r="E6" s="29">
        <v>1748.4799999999998</v>
      </c>
      <c r="F6" s="29">
        <v>363.70000000000005</v>
      </c>
      <c r="G6" s="29">
        <v>6002.0899999999992</v>
      </c>
    </row>
    <row r="7" spans="1:7" x14ac:dyDescent="0.35">
      <c r="A7" s="28" t="s">
        <v>19</v>
      </c>
      <c r="B7" s="29">
        <v>1279.3600000000001</v>
      </c>
      <c r="C7" s="29">
        <v>825</v>
      </c>
      <c r="D7" s="29">
        <v>151.24</v>
      </c>
      <c r="E7" s="29"/>
      <c r="F7" s="29">
        <v>231.12</v>
      </c>
      <c r="G7" s="29">
        <v>2486.7200000000003</v>
      </c>
    </row>
    <row r="8" spans="1:7" x14ac:dyDescent="0.35">
      <c r="A8" s="28" t="s">
        <v>56</v>
      </c>
      <c r="B8" s="29">
        <v>9577.6500000000015</v>
      </c>
      <c r="C8" s="29">
        <v>1700</v>
      </c>
      <c r="D8" s="29">
        <v>2045.22</v>
      </c>
      <c r="E8" s="29">
        <v>4169.87</v>
      </c>
      <c r="F8" s="29">
        <v>2135.1400000000003</v>
      </c>
      <c r="G8" s="29">
        <v>19627.88</v>
      </c>
    </row>
    <row r="10" spans="1:7" x14ac:dyDescent="0.35">
      <c r="B10" s="20" t="s">
        <v>64</v>
      </c>
    </row>
  </sheetData>
  <mergeCells count="1">
    <mergeCell ref="B2:E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Sheet1</vt:lpstr>
      <vt:lpstr>VLOOKUP</vt:lpstr>
      <vt:lpstr>HLOOKUP</vt:lpstr>
      <vt:lpstr>PIVOT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USER</cp:lastModifiedBy>
  <dcterms:modified xsi:type="dcterms:W3CDTF">2025-04-23T06:15:33Z</dcterms:modified>
</cp:coreProperties>
</file>